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무기공" sheetId="1" r:id="rId5"/>
    <sheet state="hidden" name="직업패시브" sheetId="2" r:id="rId6"/>
    <sheet state="hidden" name="보정패시브" sheetId="3" r:id="rId7"/>
    <sheet state="hidden" name="보정상수" sheetId="4" r:id="rId8"/>
    <sheet state="visible" name="스카우터" sheetId="5" r:id="rId9"/>
    <sheet state="visible" name="사용법" sheetId="6" r:id="rId10"/>
    <sheet state="visible" name="기준스펙" sheetId="7" r:id="rId11"/>
    <sheet state="visible" name="계산" sheetId="8" r:id="rId12"/>
    <sheet state="hidden" name="스카우터 기초자료" sheetId="9" r:id="rId13"/>
  </sheets>
  <definedNames/>
  <calcPr/>
</workbook>
</file>

<file path=xl/sharedStrings.xml><?xml version="1.0" encoding="utf-8"?>
<sst xmlns="http://schemas.openxmlformats.org/spreadsheetml/2006/main" count="645" uniqueCount="329">
  <si>
    <t>쿨감 보정치</t>
  </si>
  <si>
    <t>리부트 보정치</t>
  </si>
  <si>
    <t>노쿨감</t>
  </si>
  <si>
    <t>200~249</t>
  </si>
  <si>
    <t>1초</t>
  </si>
  <si>
    <t>250~299</t>
  </si>
  <si>
    <t>2초</t>
  </si>
  <si>
    <t>300~</t>
  </si>
  <si>
    <t>패시브</t>
  </si>
  <si>
    <t>3초</t>
  </si>
  <si>
    <t>4초</t>
  </si>
  <si>
    <t>무기공</t>
  </si>
  <si>
    <t>순스탯</t>
  </si>
  <si>
    <t>5초</t>
  </si>
  <si>
    <t>6초</t>
  </si>
  <si>
    <t>스탯퍼</t>
  </si>
  <si>
    <t>7초</t>
  </si>
  <si>
    <t>아케인2추</t>
  </si>
  <si>
    <t>부스탯</t>
  </si>
  <si>
    <t>아케인1추</t>
  </si>
  <si>
    <t>직업공격력</t>
  </si>
  <si>
    <t>제네2추</t>
  </si>
  <si>
    <t>제네1추</t>
  </si>
  <si>
    <t>공퍼</t>
  </si>
  <si>
    <t>뎀지</t>
  </si>
  <si>
    <t>무기공 보정</t>
  </si>
  <si>
    <t>보공</t>
  </si>
  <si>
    <t>최종뎀</t>
  </si>
  <si>
    <t>방무</t>
  </si>
  <si>
    <t>크뎀</t>
  </si>
  <si>
    <t>무기상수</t>
  </si>
  <si>
    <t>숙련도</t>
  </si>
  <si>
    <t>스탯창 조건</t>
  </si>
  <si>
    <t>아델</t>
  </si>
  <si>
    <t xml:space="preserve">                        </t>
  </si>
  <si>
    <t>레조스택x, 메용사용</t>
  </si>
  <si>
    <t>히어로</t>
  </si>
  <si>
    <t>메용, 10콤보, 인레이지O, 분노</t>
  </si>
  <si>
    <t>카데나</t>
  </si>
  <si>
    <t>메용 사용, 스택X</t>
  </si>
  <si>
    <t>메르세데스</t>
  </si>
  <si>
    <t>메용, 앤시언트 스피릿 사용, 스택X</t>
  </si>
  <si>
    <t>아크</t>
  </si>
  <si>
    <t>레프폼, 메용 사용 
스펠버프X, 로디드X</t>
  </si>
  <si>
    <t>카이저</t>
  </si>
  <si>
    <t>인간폼, 공격모드, 모프3
블레이즈 업 사용</t>
  </si>
  <si>
    <t>호영</t>
  </si>
  <si>
    <t>메용 사용</t>
  </si>
  <si>
    <t>나이트로드</t>
  </si>
  <si>
    <t>엔젤릭버스터</t>
  </si>
  <si>
    <t>메용, 소울게이즈 사용
로디드X</t>
  </si>
  <si>
    <t>팬텀</t>
  </si>
  <si>
    <t>듀얼블레이드</t>
  </si>
  <si>
    <r>
      <rPr>
        <rFont val="돋움"/>
        <color theme="1"/>
        <sz val="11.0"/>
      </rPr>
      <t>메용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사용</t>
    </r>
  </si>
  <si>
    <t>팔라딘</t>
  </si>
  <si>
    <t>메용, 컴뱃, 엘포, 가드 사용
0차지</t>
  </si>
  <si>
    <t>제로</t>
  </si>
  <si>
    <r>
      <rPr>
        <rFont val="돋움"/>
        <color theme="1"/>
        <sz val="11.0"/>
      </rPr>
      <t>제로</t>
    </r>
    <r>
      <rPr>
        <rFont val="Arial"/>
        <color theme="1"/>
        <sz val="11.0"/>
      </rPr>
      <t>-</t>
    </r>
    <r>
      <rPr>
        <rFont val="돋움"/>
        <color theme="1"/>
        <sz val="11.0"/>
      </rPr>
      <t>베타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디바인포스</t>
    </r>
    <r>
      <rPr>
        <rFont val="Arial"/>
        <color theme="1"/>
        <sz val="11.0"/>
      </rPr>
      <t xml:space="preserve">, </t>
    </r>
    <r>
      <rPr>
        <rFont val="돋움"/>
        <color theme="1"/>
        <sz val="11.0"/>
      </rPr>
      <t>메용</t>
    </r>
  </si>
  <si>
    <t>메카닉</t>
  </si>
  <si>
    <t>탱크상태, 메용 사용
로디드X</t>
  </si>
  <si>
    <t>아크메이지(불,독)</t>
  </si>
  <si>
    <t>메용, 메디테이션 사용
오버로드 마나X</t>
  </si>
  <si>
    <t>섀도어</t>
  </si>
  <si>
    <t>메용 사용, 플립 더 코인 0스택,
프리마 크리티컬 크뎀10퍼</t>
  </si>
  <si>
    <t>에반</t>
  </si>
  <si>
    <t>메용, 오닉스의 축복, 교감 사용
오버로드 마나X</t>
  </si>
  <si>
    <t>패스파인더</t>
  </si>
  <si>
    <t>메용, 샤프 아이즈 사용</t>
  </si>
  <si>
    <t>은월</t>
  </si>
  <si>
    <t>메용 사용, 로디드X</t>
  </si>
  <si>
    <t>아란</t>
  </si>
  <si>
    <t>메용 사용, 500콤보</t>
  </si>
  <si>
    <t>루미너스</t>
  </si>
  <si>
    <t>메용, 포틱 메디테이션 사용
오버로드 마나X</t>
  </si>
  <si>
    <t>다크나이트</t>
  </si>
  <si>
    <t>비홀더, 메용, 크오체사용</t>
  </si>
  <si>
    <t>신궁</t>
  </si>
  <si>
    <t>메용, 샤프아이즈, 아쳐리 사용</t>
  </si>
  <si>
    <t>캐논슈터</t>
  </si>
  <si>
    <t>메용, 몽키 매직 사용
로디드X</t>
  </si>
  <si>
    <t>캡틴</t>
  </si>
  <si>
    <t>메용, 파이렛 스타일 사용
로디드X</t>
  </si>
  <si>
    <t>보우마스터</t>
  </si>
  <si>
    <t>메용, 소울 애로우, 샤프아이즈 
아쳐리 사용</t>
  </si>
  <si>
    <t>블래스터</t>
  </si>
  <si>
    <t>키네시스</t>
  </si>
  <si>
    <t>메용 사용, 오버로드 마나X</t>
  </si>
  <si>
    <t>아크메이지(썬,콜)</t>
  </si>
  <si>
    <t>메용 사용
오버로드 마나X</t>
  </si>
  <si>
    <t>비숍</t>
  </si>
  <si>
    <t>메용,
벤전스ON, 오버로드 마나X</t>
  </si>
  <si>
    <t>바이퍼</t>
  </si>
  <si>
    <t>메용, 바이퍼지션 사용
미완충 상태, 로디드X</t>
  </si>
  <si>
    <t>소울마스터</t>
  </si>
  <si>
    <t>메용, 소울포지, 솔루나 타임 사용</t>
  </si>
  <si>
    <t>플레임위자드</t>
  </si>
  <si>
    <t>메용, 북 오브 파이어 사용
오버로드 마나X</t>
  </si>
  <si>
    <t>윈드브레이커</t>
  </si>
  <si>
    <t>메용, 실프스 에이드, 샤프아이즈
엘리멘트 : 스톰 사용</t>
  </si>
  <si>
    <t>나이트워커</t>
  </si>
  <si>
    <t>스트라이커</t>
  </si>
  <si>
    <t>메용 사용
로디드X</t>
  </si>
  <si>
    <t>미하일</t>
  </si>
  <si>
    <t>메용, 격려, 소울 레이지 사용
소울 링크X</t>
  </si>
  <si>
    <t>배틀메이지</t>
  </si>
  <si>
    <t>메용, 다크 오라, 배틀레이지 사용
오버로드 마나X</t>
  </si>
  <si>
    <t>와일드헌터</t>
  </si>
  <si>
    <t>메용, 소울 애로우, 샤프아이즈 
하울링 서먼 재규어 사용</t>
  </si>
  <si>
    <t>데몬슬레이어</t>
  </si>
  <si>
    <t>메용, 메타모포시스 사용</t>
  </si>
  <si>
    <t>일리움</t>
  </si>
  <si>
    <t>메용 사용
오버로드 마나X, 스택X</t>
  </si>
  <si>
    <t>카인</t>
  </si>
  <si>
    <t>라라</t>
  </si>
  <si>
    <t>기준스펙</t>
  </si>
  <si>
    <t>공통</t>
  </si>
  <si>
    <t>유니온 8천, 농장(데미지, 보공 크뎀) 풀, 노마약</t>
  </si>
  <si>
    <t>기준</t>
  </si>
  <si>
    <t>레벨</t>
  </si>
  <si>
    <t>주스탯</t>
  </si>
  <si>
    <t>템세팅</t>
  </si>
  <si>
    <t>방어구 세팅</t>
  </si>
  <si>
    <t>장신구 세팅</t>
  </si>
  <si>
    <t>무보엠 세팅</t>
  </si>
  <si>
    <t>아케인(어센틱) 포스</t>
  </si>
  <si>
    <t>에픽둘둘</t>
  </si>
  <si>
    <t>2.3만</t>
  </si>
  <si>
    <t>3카5앱, 9보장</t>
  </si>
  <si>
    <t>12성 9퍼 에디공10, 주흔작</t>
  </si>
  <si>
    <t>12성 9퍼 에디공10, 악공작</t>
  </si>
  <si>
    <t>무기앱솔 12성, 무릉기준 2줄 유효 에디공6</t>
  </si>
  <si>
    <t>890(0)</t>
  </si>
  <si>
    <t>에픽+유닠(주요)</t>
  </si>
  <si>
    <t>2.6만</t>
  </si>
  <si>
    <t>1앜5앱2카, 9보장</t>
  </si>
  <si>
    <t>에픽둘둘세팅 + 장갑(17성, 크뎀+주탯) + 모자(30%or2초18%)</t>
  </si>
  <si>
    <t>무기아케인 17성, 보스기준 최적3줄 유효 에디공6</t>
  </si>
  <si>
    <t>1140(0)</t>
  </si>
  <si>
    <t>유닠둘둘</t>
  </si>
  <si>
    <t>3.57만</t>
  </si>
  <si>
    <t>17성 15퍼 에디(주탯4 공10), 주흔작</t>
  </si>
  <si>
    <t>17성 15퍼 에디(주탯4 공10), 악공작</t>
  </si>
  <si>
    <t>무기아케인 17성, 보스기준 최적3줄 유효 에디공15</t>
  </si>
  <si>
    <t>1320(0)</t>
  </si>
  <si>
    <t>18레전둘둘</t>
  </si>
  <si>
    <t>4.54만</t>
  </si>
  <si>
    <t>18성 27퍼 에디(주탯4 공10), 주흔작</t>
  </si>
  <si>
    <t>18성 27퍼 에디(주탯4 공10), 악공작</t>
  </si>
  <si>
    <t>무기아케인 17성, 보스기준 최적3줄 유효 에디공21</t>
  </si>
  <si>
    <t>1320(40)</t>
  </si>
  <si>
    <t>레전둘둘</t>
  </si>
  <si>
    <t>5.25만</t>
  </si>
  <si>
    <t>1앜5앱2카, 5보장</t>
  </si>
  <si>
    <t>22성 27퍼 에디(주탯5 공11), 주흔작</t>
  </si>
  <si>
    <t>22성 27퍼 에디(주탯5 공11), 프악공작</t>
  </si>
  <si>
    <t>1320(80)</t>
  </si>
  <si>
    <t>노해방 초고스펙</t>
  </si>
  <si>
    <t>6.28만</t>
  </si>
  <si>
    <t>22성 30퍼 에디(주탯11퍼), 주흔작</t>
  </si>
  <si>
    <t>22성 30퍼 에디(주탯11퍼), 놀긍작, 놀12매커, 샤레마 + 가엔링</t>
  </si>
  <si>
    <t>무기아케인 17성, 무릉기준 최적3줄 유효 에디공21</t>
  </si>
  <si>
    <t>1320(110)</t>
  </si>
  <si>
    <t>해방 초고스펙</t>
  </si>
  <si>
    <t>6.67만</t>
  </si>
  <si>
    <t>4카5앱, 5보장</t>
  </si>
  <si>
    <t>22성 30퍼 에디(2줄+@), 주흔작</t>
  </si>
  <si>
    <t>22성 30퍼 에디(2줄+@), 놀긍작, 놀12매커, 샤레마, 스링 + 가엔링,</t>
  </si>
  <si>
    <t>제네 해방, 무릉기준 최적3줄 유효 에디공21</t>
  </si>
  <si>
    <t>1320(130)</t>
  </si>
  <si>
    <t>5칠흑 엔드</t>
  </si>
  <si>
    <t>7.54만</t>
  </si>
  <si>
    <t>4카5앜, 5칠흑</t>
  </si>
  <si>
    <t>22성 30퍼 에디(2줄+@), 놀긍작</t>
  </si>
  <si>
    <t>5칠흑, 22성 30퍼 에디(2줄+@), 놀긍작, 놀12매커, 스링 + 가엔링,</t>
  </si>
  <si>
    <t>제네 해방, 무릉기준 최적3줄 유효 보조 에디공30, 무기엠블 2+@</t>
  </si>
  <si>
    <t>1320(160)</t>
  </si>
  <si>
    <t>엔드</t>
  </si>
  <si>
    <t>8만</t>
  </si>
  <si>
    <t>4카5앜, 풀칠흑</t>
  </si>
  <si>
    <t>22성 33퍼 에디(3줄), 놀긍작</t>
  </si>
  <si>
    <t>풀칠흑, 22성 33퍼 에디(3줄), 놀긍작</t>
  </si>
  <si>
    <t>제네 해방, 무릉기준 최적3줄+한줄이탈, 에디공90</t>
  </si>
  <si>
    <t>직업</t>
  </si>
  <si>
    <t>기본정보</t>
  </si>
  <si>
    <t>스탯퍼 계산</t>
  </si>
  <si>
    <t>공격력/마력 계산</t>
  </si>
  <si>
    <t>순스탯 보정</t>
  </si>
  <si>
    <t>스탯 보정</t>
  </si>
  <si>
    <t>메용 스텟(시드링 착용)</t>
  </si>
  <si>
    <t>보정 순스탯</t>
  </si>
  <si>
    <t>ap</t>
  </si>
  <si>
    <t>추가 순스탯</t>
  </si>
  <si>
    <t>보정 스탯퍼</t>
  </si>
  <si>
    <t>메용X 스탯(시드링 착용)</t>
  </si>
  <si>
    <t>스공(뒷스공)</t>
  </si>
  <si>
    <t>최종 순스탯</t>
  </si>
  <si>
    <t>데미지</t>
  </si>
  <si>
    <t>스탯퍼 미포함 스탯</t>
  </si>
  <si>
    <t>실메용증가량</t>
  </si>
  <si>
    <t>보정 메용X</t>
  </si>
  <si>
    <t>순수메용증가량</t>
  </si>
  <si>
    <t>스탯퍼 보정</t>
  </si>
  <si>
    <t>보정 메용스탯</t>
  </si>
  <si>
    <t>보스 데미지(+상추뎀)</t>
  </si>
  <si>
    <t>공격력/마력</t>
  </si>
  <si>
    <t>샤드뎀</t>
  </si>
  <si>
    <t>스카우터</t>
  </si>
  <si>
    <t>주스탯환산</t>
  </si>
  <si>
    <t>그래프 표현</t>
  </si>
  <si>
    <t>기준스펙 스탯</t>
  </si>
  <si>
    <t>계산스탯</t>
  </si>
  <si>
    <t>2차계산</t>
  </si>
  <si>
    <t>추가 스탯퍼</t>
  </si>
  <si>
    <t>쓸샾 후 크뎀</t>
  </si>
  <si>
    <t>순스탯 계산</t>
  </si>
  <si>
    <t>최종 스탯퍼</t>
  </si>
  <si>
    <t>템공퍼</t>
  </si>
  <si>
    <t>부스탯 계산</t>
  </si>
  <si>
    <t>아케인심볼 스탯</t>
  </si>
  <si>
    <t>어센틱심볼 스탯</t>
  </si>
  <si>
    <t>순수스탯량</t>
  </si>
  <si>
    <t>부스탯2</t>
  </si>
  <si>
    <t>하이퍼스탯+어빌 스탯</t>
  </si>
  <si>
    <t>총 부스탯</t>
  </si>
  <si>
    <t>최대</t>
  </si>
  <si>
    <t>유니온 공격대원 스탯</t>
  </si>
  <si>
    <t>기본정보(0초 아델)</t>
  </si>
  <si>
    <t>에픽+유닠(중요)</t>
  </si>
  <si>
    <t>공격력/마력 보정</t>
  </si>
  <si>
    <t>공/마퍼 보정</t>
  </si>
  <si>
    <t>방무 보정</t>
  </si>
  <si>
    <t>샤드뎀계산</t>
  </si>
  <si>
    <t>템 공격력/마력</t>
  </si>
  <si>
    <t>18유닠둘둘</t>
  </si>
  <si>
    <t>현직업 보정패시브 순스탯</t>
  </si>
  <si>
    <t>현직업 보정패시브 공격력</t>
  </si>
  <si>
    <t>아델 공퍼</t>
  </si>
  <si>
    <t>현직업 보정패시브 방무</t>
  </si>
  <si>
    <t>아델 패시브 순스탯</t>
  </si>
  <si>
    <t>아델 패시브 공격력</t>
  </si>
  <si>
    <t>엔드스펙</t>
  </si>
  <si>
    <t>보정 공퍼</t>
  </si>
  <si>
    <t>방무 역산</t>
  </si>
  <si>
    <t>그분들</t>
  </si>
  <si>
    <t>스탯상수</t>
  </si>
  <si>
    <t>보정 공격력</t>
  </si>
  <si>
    <t>아델 패시브 방무</t>
  </si>
  <si>
    <t>도핑 공격력</t>
  </si>
  <si>
    <t>보정 방무</t>
  </si>
  <si>
    <t>공퍼 상수</t>
  </si>
  <si>
    <t>데미지 보정</t>
  </si>
  <si>
    <t>크뎀 보정</t>
  </si>
  <si>
    <t>샤드 방무</t>
  </si>
  <si>
    <t>보총뎀 상수</t>
  </si>
  <si>
    <t>최종뎀 상수</t>
  </si>
  <si>
    <t>쿨감</t>
  </si>
  <si>
    <t>현직업 보정패시브 데미지</t>
  </si>
  <si>
    <t>현직업 보정패시브 크뎀</t>
  </si>
  <si>
    <t>직업 상수</t>
  </si>
  <si>
    <t>방무상수</t>
  </si>
  <si>
    <t>보정치</t>
  </si>
  <si>
    <t>아델 패시브 데미지</t>
  </si>
  <si>
    <t>아델 패시브 크뎀</t>
  </si>
  <si>
    <t>크뎀상수</t>
  </si>
  <si>
    <t>보정 데미지</t>
  </si>
  <si>
    <t>렙차보정</t>
  </si>
  <si>
    <t>최종데미지</t>
  </si>
  <si>
    <t>코강</t>
  </si>
  <si>
    <t>샤드퍼뎀</t>
  </si>
  <si>
    <t>몹 방어율</t>
  </si>
  <si>
    <t>보공 보정</t>
  </si>
  <si>
    <t>부스탯 보정</t>
  </si>
  <si>
    <t>샤드데미지</t>
  </si>
  <si>
    <t>현직업 보정패시브 보공</t>
  </si>
  <si>
    <t>현직업 보정패시브 부스탯</t>
  </si>
  <si>
    <t>최종샤드뎀</t>
  </si>
  <si>
    <t>아델 패시브 보공</t>
  </si>
  <si>
    <t>어빌 보공</t>
  </si>
  <si>
    <t>부스탯 보정상수</t>
  </si>
  <si>
    <t>보정 보공</t>
  </si>
  <si>
    <t>보정 부스탯</t>
  </si>
  <si>
    <t>기본정보(4초 아델)</t>
  </si>
  <si>
    <t>추가 공마</t>
  </si>
  <si>
    <t>추가 공퍼</t>
  </si>
  <si>
    <t>추가 방무</t>
  </si>
  <si>
    <t>최종 공격력</t>
  </si>
  <si>
    <t>최종 공퍼</t>
  </si>
  <si>
    <t>최종 방무</t>
  </si>
  <si>
    <t>보총뎀 보정</t>
  </si>
  <si>
    <t>보총뎀</t>
  </si>
  <si>
    <t>추가 보총뎀</t>
  </si>
  <si>
    <t>추가 크뎀</t>
  </si>
  <si>
    <t>최종 보총뎀</t>
  </si>
  <si>
    <t>최종 크뎀</t>
  </si>
  <si>
    <t>스탯구간</t>
  </si>
  <si>
    <t>근의공식</t>
  </si>
  <si>
    <t>스탯딸</t>
  </si>
  <si>
    <t>실제 메용스탯</t>
  </si>
  <si>
    <t>맹물</t>
  </si>
  <si>
    <t>근의 공식(+)</t>
  </si>
  <si>
    <t>물</t>
  </si>
  <si>
    <t>나누기 100</t>
  </si>
  <si>
    <t>역로그</t>
  </si>
  <si>
    <t>불</t>
  </si>
  <si>
    <t>4.96보정</t>
  </si>
  <si>
    <t>지옥불</t>
  </si>
  <si>
    <t>새틀라이트</t>
  </si>
  <si>
    <t>어빌 보공 계산 변환(21.12.16 10:09), 쿨감 보정 수정(21.12.16 18:34)</t>
  </si>
  <si>
    <t>서버</t>
  </si>
  <si>
    <t>해방여부</t>
  </si>
  <si>
    <t>추옵</t>
  </si>
  <si>
    <t>본섭</t>
  </si>
  <si>
    <t>1추</t>
  </si>
  <si>
    <t>메용 스탯(시드링 착용)</t>
  </si>
  <si>
    <t>어빌리티</t>
  </si>
  <si>
    <t>스펙미적용</t>
  </si>
  <si>
    <t>부스탯2(듀블,섀도어,카데나)</t>
  </si>
  <si>
    <t>보조무기 강화</t>
  </si>
  <si>
    <t>기존</t>
  </si>
  <si>
    <t>보스 데미지(+어빌 상추뎀)</t>
  </si>
  <si>
    <t>템 공격력/마력 퍼</t>
  </si>
  <si>
    <t>순스탯(메용x)</t>
  </si>
  <si>
    <t>공마퍼</t>
  </si>
  <si>
    <t>환산 주스탯</t>
  </si>
  <si>
    <t>추가 스펙 시뮬레이터</t>
  </si>
  <si>
    <t>예상</t>
  </si>
  <si>
    <t>스탯창 주스탯 대비</t>
  </si>
  <si>
    <t>공격력/마력 퍼</t>
  </si>
  <si>
    <t>구버전 점수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</si>
</sst>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/>
    <font>
      <sz val="9.0"/>
      <color theme="1"/>
      <name val="Arial"/>
    </font>
    <font>
      <sz val="9.0"/>
      <color theme="1"/>
      <name val="Calibri"/>
    </font>
    <font>
      <sz val="11.0"/>
      <color theme="1"/>
      <name val="Dotum"/>
    </font>
    <font>
      <sz val="11.0"/>
      <color theme="1"/>
      <name val="Arial"/>
    </font>
    <font>
      <sz val="11.0"/>
      <color rgb="FF000000"/>
      <name val="Arial"/>
    </font>
    <font>
      <sz val="11.0"/>
      <color rgb="FF000000"/>
      <name val="Inconsolata"/>
    </font>
    <font>
      <color rgb="FFFFFFFF"/>
      <name val="Arial"/>
      <scheme val="minor"/>
    </font>
    <font>
      <sz val="9.0"/>
      <color rgb="FF000000"/>
      <name val="Calibri"/>
    </font>
    <font>
      <color theme="1"/>
      <name val="Arial"/>
    </font>
    <font>
      <sz val="11.0"/>
      <color rgb="FF000000"/>
      <name val="&quot;맑은 고딕&quot;"/>
    </font>
    <font>
      <color rgb="FF000000"/>
      <name val="&quot;맑은 고딕&quot;"/>
    </font>
    <font>
      <b/>
      <sz val="9.0"/>
      <color rgb="FF0000FF"/>
      <name val="Arial"/>
    </font>
    <font>
      <color theme="0"/>
      <name val="Arial"/>
      <scheme val="minor"/>
    </font>
    <font>
      <sz val="9.0"/>
      <color theme="0"/>
      <name val="Arial"/>
    </font>
    <font>
      <sz val="9.0"/>
      <color theme="0"/>
      <name val="Calibri"/>
    </font>
    <font>
      <sz val="9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8.0"/>
      <color rgb="FFFFFFFF"/>
      <name val="Arial"/>
      <scheme val="minor"/>
    </font>
    <font>
      <sz val="36.0"/>
      <color theme="1"/>
      <name val="Arial"/>
    </font>
    <font>
      <sz val="18.0"/>
      <color theme="1"/>
      <name val="Arial"/>
    </font>
    <font>
      <b/>
      <sz val="24.0"/>
      <color theme="1"/>
      <name val="Arial"/>
      <scheme val="minor"/>
    </font>
    <font>
      <color theme="1"/>
      <name val="Song Myung"/>
    </font>
    <font>
      <sz val="36.0"/>
      <color theme="1"/>
      <name val="Arial"/>
      <scheme val="minor"/>
    </font>
    <font>
      <sz val="15.0"/>
      <color theme="1"/>
      <name val="Arial"/>
    </font>
    <font>
      <sz val="18.0"/>
      <color theme="1"/>
      <name val="Arial"/>
      <scheme val="minor"/>
    </font>
    <font>
      <color rgb="FF000000"/>
      <name val="Arial"/>
    </font>
    <font>
      <sz val="8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CC0000"/>
        <bgColor rgb="FFCC0000"/>
      </patternFill>
    </fill>
  </fills>
  <borders count="56">
    <border/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1" numFmtId="9" xfId="0" applyFont="1" applyNumberFormat="1"/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0" fillId="2" fontId="1" numFmtId="9" xfId="0" applyFill="1" applyFont="1" applyNumberFormat="1"/>
    <xf borderId="2" fillId="0" fontId="3" numFmtId="0" xfId="0" applyBorder="1" applyFont="1"/>
    <xf borderId="3" fillId="4" fontId="4" numFmtId="0" xfId="0" applyAlignment="1" applyBorder="1" applyFill="1" applyFont="1">
      <alignment horizontal="center" readingOrder="0"/>
    </xf>
    <xf borderId="4" fillId="0" fontId="5" numFmtId="9" xfId="0" applyAlignment="1" applyBorder="1" applyFont="1" applyNumberFormat="1">
      <alignment horizontal="center" readingOrder="0"/>
    </xf>
    <xf borderId="0" fillId="2" fontId="6" numFmtId="0" xfId="0" applyAlignment="1" applyFill="1" applyFont="1">
      <alignment horizontal="center"/>
    </xf>
    <xf borderId="0" fillId="0" fontId="2" numFmtId="10" xfId="0" applyAlignment="1" applyFont="1" applyNumberFormat="1">
      <alignment readingOrder="0"/>
    </xf>
    <xf borderId="0" fillId="0" fontId="6" numFmtId="0" xfId="0" applyAlignment="1" applyFont="1">
      <alignment horizontal="center"/>
    </xf>
    <xf borderId="0" fillId="2" fontId="6" numFmtId="0" xfId="0" applyFill="1" applyFont="1"/>
    <xf borderId="0" fillId="0" fontId="7" numFmtId="0" xfId="0" applyFont="1"/>
    <xf borderId="0" fillId="2" fontId="6" numFmtId="9" xfId="0" applyFill="1" applyFont="1" applyNumberFormat="1"/>
    <xf borderId="0" fillId="0" fontId="6" numFmtId="0" xfId="0" applyFont="1"/>
    <xf borderId="0" fillId="0" fontId="6" numFmtId="9" xfId="0" applyFont="1" applyNumberFormat="1"/>
    <xf borderId="0" fillId="2" fontId="6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horizontal="right"/>
    </xf>
    <xf borderId="0" fillId="2" fontId="1" numFmtId="0" xfId="0" applyAlignment="1" applyFill="1" applyFont="1">
      <alignment horizontal="right"/>
    </xf>
    <xf borderId="0" fillId="5" fontId="6" numFmtId="0" xfId="0" applyFill="1" applyFont="1"/>
    <xf borderId="0" fillId="2" fontId="7" numFmtId="9" xfId="0" applyAlignment="1" applyFill="1" applyFont="1" applyNumberFormat="1">
      <alignment horizontal="right"/>
    </xf>
    <xf borderId="0" fillId="0" fontId="2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2" fontId="7" numFmtId="0" xfId="0" applyAlignment="1" applyFill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2" fontId="7" numFmtId="0" xfId="0" applyAlignment="1" applyFill="1" applyFont="1">
      <alignment horizontal="right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6" fontId="9" numFmtId="0" xfId="0" applyAlignment="1" applyFill="1" applyFont="1">
      <alignment readingOrder="0"/>
    </xf>
    <xf borderId="0" fillId="5" fontId="7" numFmtId="0" xfId="0" applyAlignment="1" applyFill="1" applyFont="1">
      <alignment horizontal="right"/>
    </xf>
    <xf borderId="0" fillId="5" fontId="6" numFmtId="0" xfId="0" applyAlignment="1" applyFill="1" applyFont="1">
      <alignment readingOrder="0"/>
    </xf>
    <xf borderId="0" fillId="0" fontId="10" numFmtId="0" xfId="0" applyAlignment="1" applyFont="1">
      <alignment horizontal="center" readingOrder="0" vertical="center"/>
    </xf>
    <xf borderId="5" fillId="7" fontId="10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0" fillId="0" fontId="4" numFmtId="0" xfId="0" applyAlignment="1" applyFont="1">
      <alignment horizontal="center" readingOrder="0"/>
    </xf>
    <xf borderId="8" fillId="8" fontId="4" numFmtId="0" xfId="0" applyAlignment="1" applyBorder="1" applyFill="1" applyFont="1">
      <alignment horizontal="center" readingOrder="0"/>
    </xf>
    <xf borderId="9" fillId="8" fontId="4" numFmtId="0" xfId="0" applyAlignment="1" applyBorder="1" applyFill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12" fillId="8" fontId="4" numFmtId="0" xfId="0" applyAlignment="1" applyBorder="1" applyFill="1" applyFont="1">
      <alignment horizontal="center" readingOrder="0"/>
    </xf>
    <xf borderId="13" fillId="8" fontId="4" numFmtId="0" xfId="0" applyAlignment="1" applyBorder="1" applyFill="1" applyFont="1">
      <alignment horizontal="center" readingOrder="0"/>
    </xf>
    <xf borderId="14" fillId="8" fontId="4" numFmtId="0" xfId="0" applyAlignment="1" applyBorder="1" applyFill="1" applyFont="1">
      <alignment horizontal="center" readingOrder="0"/>
    </xf>
    <xf borderId="15" fillId="8" fontId="4" numFmtId="0" xfId="0" applyAlignment="1" applyBorder="1" applyFill="1" applyFont="1">
      <alignment horizontal="center" readingOrder="0"/>
    </xf>
    <xf borderId="16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 readingOrder="0"/>
    </xf>
    <xf borderId="18" fillId="8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 readingOrder="0"/>
    </xf>
    <xf borderId="19" fillId="0" fontId="5" numFmtId="0" xfId="0" applyAlignment="1" applyBorder="1" applyFont="1">
      <alignment horizontal="center" readingOrder="0"/>
    </xf>
    <xf borderId="19" fillId="6" fontId="11" numFmtId="0" xfId="0" applyAlignment="1" applyBorder="1" applyFill="1" applyFont="1">
      <alignment horizontal="center" readingOrder="0"/>
    </xf>
    <xf borderId="20" fillId="0" fontId="5" numFmtId="0" xfId="0" applyAlignment="1" applyBorder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21" fillId="0" fontId="5" numFmtId="0" xfId="0" applyAlignment="1" applyBorder="1" applyFont="1">
      <alignment horizontal="center" readingOrder="0"/>
    </xf>
    <xf borderId="0" fillId="2" fontId="2" numFmtId="0" xfId="0" applyFill="1" applyFont="1"/>
    <xf borderId="0" fillId="2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ill="1" applyFont="1"/>
    <xf borderId="0" fillId="2" fontId="2" numFmtId="0" xfId="0" applyAlignment="1" applyFill="1" applyFont="1">
      <alignment horizontal="center" readingOrder="0"/>
    </xf>
    <xf borderId="5" fillId="3" fontId="2" numFmtId="0" xfId="0" applyAlignment="1" applyBorder="1" applyFill="1" applyFont="1">
      <alignment horizontal="center" readingOrder="0"/>
    </xf>
    <xf borderId="22" fillId="0" fontId="3" numFmtId="0" xfId="0" applyBorder="1" applyFont="1"/>
    <xf borderId="9" fillId="3" fontId="2" numFmtId="0" xfId="0" applyAlignment="1" applyBorder="1" applyFill="1" applyFont="1">
      <alignment horizontal="center" readingOrder="0"/>
    </xf>
    <xf borderId="9" fillId="3" fontId="12" numFmtId="0" xfId="0" applyAlignment="1" applyBorder="1" applyFill="1" applyFont="1">
      <alignment horizontal="center" vertical="bottom"/>
    </xf>
    <xf borderId="0" fillId="2" fontId="4" numFmtId="0" xfId="0" applyAlignment="1" applyFill="1" applyFont="1">
      <alignment horizontal="center" readingOrder="0"/>
    </xf>
    <xf borderId="23" fillId="4" fontId="4" numFmtId="0" xfId="0" applyAlignment="1" applyBorder="1" applyFill="1" applyFont="1">
      <alignment horizontal="center" readingOrder="0"/>
    </xf>
    <xf borderId="24" fillId="0" fontId="5" numFmtId="0" xfId="0" applyAlignment="1" applyBorder="1" applyFont="1">
      <alignment horizontal="center" readingOrder="0"/>
    </xf>
    <xf borderId="25" fillId="0" fontId="5" numFmtId="0" xfId="0" applyAlignment="1" applyBorder="1" applyFont="1">
      <alignment horizontal="center" readingOrder="0"/>
    </xf>
    <xf borderId="26" fillId="4" fontId="4" numFmtId="0" xfId="0" applyAlignment="1" applyBorder="1" applyFill="1" applyFont="1">
      <alignment horizontal="center" vertical="bottom"/>
    </xf>
    <xf borderId="27" fillId="0" fontId="5" numFmtId="0" xfId="0" applyAlignment="1" applyBorder="1" applyFont="1">
      <alignment horizontal="center" vertical="bottom"/>
    </xf>
    <xf borderId="25" fillId="0" fontId="5" numFmtId="0" xfId="0" applyAlignment="1" applyBorder="1" applyFont="1">
      <alignment horizontal="center"/>
    </xf>
    <xf borderId="26" fillId="4" fontId="4" numFmtId="0" xfId="0" applyAlignment="1" applyBorder="1" applyFill="1" applyFont="1">
      <alignment horizontal="center" readingOrder="0" vertical="bottom"/>
    </xf>
    <xf borderId="25" fillId="0" fontId="5" numFmtId="9" xfId="0" applyAlignment="1" applyBorder="1" applyFont="1" applyNumberFormat="1">
      <alignment horizontal="center" readingOrder="0"/>
    </xf>
    <xf borderId="28" fillId="4" fontId="4" numFmtId="0" xfId="0" applyAlignment="1" applyBorder="1" applyFill="1" applyFont="1">
      <alignment horizontal="center" readingOrder="0" vertical="bottom"/>
    </xf>
    <xf borderId="29" fillId="0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25" fillId="0" fontId="5" numFmtId="2" xfId="0" applyAlignment="1" applyBorder="1" applyFont="1" applyNumberFormat="1">
      <alignment horizontal="center" readingOrder="0"/>
    </xf>
    <xf borderId="25" fillId="5" fontId="5" numFmtId="0" xfId="0" applyAlignment="1" applyBorder="1" applyFill="1" applyFont="1">
      <alignment horizontal="center" readingOrder="0"/>
    </xf>
    <xf borderId="30" fillId="4" fontId="4" numFmtId="0" xfId="0" applyAlignment="1" applyBorder="1" applyFill="1" applyFont="1">
      <alignment horizontal="center" readingOrder="0"/>
    </xf>
    <xf borderId="0" fillId="0" fontId="2" numFmtId="2" xfId="0" applyFont="1" applyNumberFormat="1"/>
    <xf borderId="0" fillId="0" fontId="13" numFmtId="0" xfId="0" applyAlignment="1" applyFont="1">
      <alignment readingOrder="0" shrinkToFit="0" wrapText="0"/>
    </xf>
    <xf borderId="0" fillId="0" fontId="13" numFmtId="1" xfId="0" applyAlignment="1" applyFont="1" applyNumberFormat="1">
      <alignment readingOrder="0" shrinkToFit="0" wrapText="0"/>
    </xf>
    <xf borderId="31" fillId="5" fontId="5" numFmtId="9" xfId="0" applyAlignment="1" applyBorder="1" applyFill="1" applyFont="1" applyNumberFormat="1">
      <alignment horizontal="center"/>
    </xf>
    <xf borderId="0" fillId="9" fontId="14" numFmtId="0" xfId="0" applyAlignment="1" applyFill="1" applyFont="1">
      <alignment readingOrder="0" vertical="bottom"/>
    </xf>
    <xf borderId="26" fillId="4" fontId="4" numFmtId="0" xfId="0" applyAlignment="1" applyBorder="1" applyFill="1" applyFont="1">
      <alignment horizontal="center" readingOrder="0"/>
    </xf>
    <xf borderId="0" fillId="6" fontId="9" numFmtId="0" xfId="0" applyAlignment="1" applyFill="1" applyFont="1">
      <alignment horizontal="right" readingOrder="0" vertical="bottom"/>
    </xf>
    <xf borderId="0" fillId="6" fontId="9" numFmtId="1" xfId="0" applyAlignment="1" applyFill="1" applyFont="1" applyNumberFormat="1">
      <alignment horizontal="right" readingOrder="0" vertical="bottom"/>
    </xf>
    <xf borderId="32" fillId="0" fontId="5" numFmtId="9" xfId="0" applyAlignment="1" applyBorder="1" applyFont="1" applyNumberFormat="1">
      <alignment horizontal="center" readingOrder="0"/>
    </xf>
    <xf borderId="0" fillId="0" fontId="13" numFmtId="0" xfId="0" applyAlignment="1" applyFont="1">
      <alignment horizontal="right" readingOrder="0" shrinkToFit="0" wrapText="0"/>
    </xf>
    <xf borderId="14" fillId="9" fontId="2" numFmtId="0" xfId="0" applyBorder="1" applyFill="1" applyFont="1"/>
    <xf borderId="10" fillId="9" fontId="2" numFmtId="0" xfId="0" applyBorder="1" applyFill="1" applyFont="1"/>
    <xf borderId="10" fillId="9" fontId="2" numFmtId="0" xfId="0" applyAlignment="1" applyBorder="1" applyFill="1" applyFont="1">
      <alignment readingOrder="0"/>
    </xf>
    <xf borderId="11" fillId="9" fontId="2" numFmtId="0" xfId="0" applyAlignment="1" applyBorder="1" applyFill="1" applyFont="1">
      <alignment readingOrder="0"/>
    </xf>
    <xf borderId="9" fillId="0" fontId="2" numFmtId="0" xfId="0" applyAlignment="1" applyBorder="1" applyFont="1">
      <alignment readingOrder="0"/>
    </xf>
    <xf borderId="31" fillId="5" fontId="5" numFmtId="0" xfId="0" applyAlignment="1" applyBorder="1" applyFill="1" applyFont="1">
      <alignment horizontal="center" readingOrder="0"/>
    </xf>
    <xf borderId="33" fillId="0" fontId="2" numFmtId="0" xfId="0" applyAlignment="1" applyBorder="1" applyFont="1">
      <alignment readingOrder="0"/>
    </xf>
    <xf borderId="4" fillId="0" fontId="12" numFmtId="0" xfId="0" applyAlignment="1" applyBorder="1" applyFont="1">
      <alignment horizontal="right" vertical="bottom"/>
    </xf>
    <xf borderId="31" fillId="0" fontId="5" numFmtId="9" xfId="0" applyAlignment="1" applyBorder="1" applyFont="1" applyNumberFormat="1">
      <alignment horizontal="center" readingOrder="0"/>
    </xf>
    <xf borderId="34" fillId="0" fontId="5" numFmtId="0" xfId="0" applyAlignment="1" applyBorder="1" applyFont="1">
      <alignment horizontal="center" readingOrder="0"/>
    </xf>
    <xf borderId="0" fillId="6" fontId="9" numFmtId="2" xfId="0" applyFill="1" applyFont="1" applyNumberFormat="1"/>
    <xf borderId="0" fillId="0" fontId="5" numFmtId="0" xfId="0" applyAlignment="1" applyFont="1">
      <alignment horizontal="center" readingOrder="0"/>
    </xf>
    <xf borderId="35" fillId="0" fontId="2" numFmtId="1" xfId="0" applyBorder="1" applyFont="1" applyNumberFormat="1"/>
    <xf borderId="0" fillId="0" fontId="2" numFmtId="1" xfId="0" applyFont="1" applyNumberFormat="1"/>
    <xf borderId="0" fillId="0" fontId="2" numFmtId="0" xfId="0" applyFont="1"/>
    <xf borderId="5" fillId="0" fontId="2" numFmtId="0" xfId="0" applyBorder="1" applyFont="1"/>
    <xf borderId="7" fillId="0" fontId="2" numFmtId="0" xfId="0" applyAlignment="1" applyBorder="1" applyFont="1">
      <alignment readingOrder="0"/>
    </xf>
    <xf borderId="0" fillId="2" fontId="5" numFmtId="0" xfId="0" applyAlignment="1" applyFill="1" applyFont="1">
      <alignment horizontal="center" readingOrder="0"/>
    </xf>
    <xf borderId="30" fillId="4" fontId="5" numFmtId="0" xfId="0" applyAlignment="1" applyBorder="1" applyFill="1" applyFont="1">
      <alignment horizontal="center" readingOrder="0"/>
    </xf>
    <xf borderId="31" fillId="0" fontId="5" numFmtId="0" xfId="0" applyAlignment="1" applyBorder="1" applyFont="1">
      <alignment horizontal="center" readingOrder="0"/>
    </xf>
    <xf borderId="0" fillId="6" fontId="9" numFmtId="1" xfId="0" applyAlignment="1" applyFill="1" applyFont="1" applyNumberFormat="1">
      <alignment horizontal="right" vertical="bottom"/>
    </xf>
    <xf borderId="31" fillId="5" fontId="5" numFmtId="0" xfId="0" applyAlignment="1" applyBorder="1" applyFill="1" applyFont="1">
      <alignment horizontal="center"/>
    </xf>
    <xf borderId="0" fillId="0" fontId="12" numFmtId="0" xfId="0" applyAlignment="1" applyFont="1">
      <alignment horizontal="right" vertical="bottom"/>
    </xf>
    <xf borderId="36" fillId="0" fontId="2" numFmtId="0" xfId="0" applyBorder="1" applyFont="1"/>
    <xf borderId="35" fillId="0" fontId="2" numFmtId="0" xfId="0" applyBorder="1" applyFont="1"/>
    <xf borderId="32" fillId="0" fontId="5" numFmtId="0" xfId="0" applyAlignment="1" applyBorder="1" applyFont="1">
      <alignment horizontal="center" readingOrder="0"/>
    </xf>
    <xf borderId="36" fillId="0" fontId="2" numFmtId="0" xfId="0" applyAlignment="1" applyBorder="1" applyFont="1">
      <alignment readingOrder="0"/>
    </xf>
    <xf borderId="0" fillId="0" fontId="13" numFmtId="1" xfId="0" applyAlignment="1" applyFont="1" applyNumberFormat="1">
      <alignment shrinkToFit="0" wrapText="0"/>
    </xf>
    <xf borderId="0" fillId="0" fontId="13" numFmtId="0" xfId="0" applyAlignment="1" applyFont="1">
      <alignment shrinkToFit="0" wrapText="0"/>
    </xf>
    <xf borderId="37" fillId="0" fontId="2" numFmtId="0" xfId="0" applyBorder="1" applyFont="1"/>
    <xf borderId="38" fillId="0" fontId="2" numFmtId="0" xfId="0" applyBorder="1" applyFont="1"/>
    <xf borderId="38" fillId="6" fontId="9" numFmtId="2" xfId="0" applyBorder="1" applyFill="1" applyFont="1" applyNumberFormat="1"/>
    <xf borderId="29" fillId="0" fontId="2" numFmtId="1" xfId="0" applyBorder="1" applyFont="1" applyNumberFormat="1"/>
    <xf borderId="0" fillId="0" fontId="2" numFmtId="2" xfId="0" applyAlignment="1" applyFont="1" applyNumberFormat="1">
      <alignment readingOrder="0"/>
    </xf>
    <xf borderId="38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25" fillId="0" fontId="5" numFmtId="4" xfId="0" applyAlignment="1" applyBorder="1" applyFont="1" applyNumberFormat="1">
      <alignment horizontal="center" readingOrder="0"/>
    </xf>
    <xf borderId="31" fillId="5" fontId="5" numFmtId="9" xfId="0" applyAlignment="1" applyBorder="1" applyFill="1" applyFont="1" applyNumberFormat="1">
      <alignment horizontal="center" readingOrder="0"/>
    </xf>
    <xf borderId="20" fillId="4" fontId="4" numFmtId="0" xfId="0" applyAlignment="1" applyBorder="1" applyFill="1" applyFont="1">
      <alignment horizontal="center" readingOrder="0"/>
    </xf>
    <xf borderId="39" fillId="4" fontId="4" numFmtId="0" xfId="0" applyAlignment="1" applyBorder="1" applyFill="1" applyFont="1">
      <alignment horizontal="center"/>
    </xf>
    <xf borderId="40" fillId="0" fontId="3" numFmtId="0" xfId="0" applyBorder="1" applyFont="1"/>
    <xf borderId="39" fillId="10" fontId="15" numFmtId="0" xfId="0" applyAlignment="1" applyBorder="1" applyFill="1" applyFont="1">
      <alignment horizontal="center" vertical="center"/>
    </xf>
    <xf borderId="9" fillId="0" fontId="5" numFmtId="0" xfId="0" applyAlignment="1" applyBorder="1" applyFont="1">
      <alignment horizontal="center"/>
    </xf>
    <xf borderId="0" fillId="2" fontId="16" numFmtId="0" xfId="0" applyFill="1" applyFont="1"/>
    <xf borderId="0" fillId="2" fontId="16" numFmtId="0" xfId="0" applyAlignment="1" applyFill="1" applyFont="1">
      <alignment horizontal="center" readingOrder="0"/>
    </xf>
    <xf borderId="0" fillId="2" fontId="17" numFmtId="0" xfId="0" applyAlignment="1" applyFill="1" applyFont="1">
      <alignment horizontal="center" readingOrder="0"/>
    </xf>
    <xf borderId="0" fillId="2" fontId="18" numFmtId="0" xfId="0" applyAlignment="1" applyFill="1" applyFont="1">
      <alignment horizontal="center" readingOrder="0"/>
    </xf>
    <xf borderId="25" fillId="5" fontId="5" numFmtId="9" xfId="0" applyAlignment="1" applyBorder="1" applyFill="1" applyFont="1" applyNumberFormat="1">
      <alignment horizontal="center" readingOrder="0"/>
    </xf>
    <xf borderId="0" fillId="2" fontId="18" numFmtId="9" xfId="0" applyAlignment="1" applyFill="1" applyFont="1" applyNumberFormat="1">
      <alignment horizontal="center" readingOrder="0"/>
    </xf>
    <xf borderId="0" fillId="6" fontId="9" numFmtId="0" xfId="0" applyFill="1" applyFont="1"/>
    <xf borderId="0" fillId="0" fontId="2" numFmtId="10" xfId="0" applyFont="1" applyNumberFormat="1"/>
    <xf borderId="0" fillId="11" fontId="2" numFmtId="0" xfId="0" applyAlignment="1" applyFill="1" applyFont="1">
      <alignment readingOrder="0"/>
    </xf>
    <xf borderId="25" fillId="5" fontId="5" numFmtId="10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5" fillId="7" fontId="16" numFmtId="0" xfId="0" applyAlignment="1" applyBorder="1" applyFill="1" applyFont="1">
      <alignment horizontal="center" readingOrder="0" vertical="center"/>
    </xf>
    <xf borderId="9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5" fillId="2" fontId="2" numFmtId="0" xfId="0" applyAlignment="1" applyBorder="1" applyFill="1" applyFont="1">
      <alignment horizontal="center" readingOrder="0" vertical="center"/>
    </xf>
    <xf borderId="13" fillId="0" fontId="3" numFmtId="0" xfId="0" applyBorder="1" applyFont="1"/>
    <xf borderId="38" fillId="0" fontId="3" numFmtId="0" xfId="0" applyBorder="1" applyFont="1"/>
    <xf borderId="29" fillId="0" fontId="3" numFmtId="0" xfId="0" applyBorder="1" applyFont="1"/>
    <xf borderId="23" fillId="8" fontId="2" numFmtId="0" xfId="0" applyAlignment="1" applyBorder="1" applyFill="1" applyFont="1">
      <alignment horizontal="center" readingOrder="0"/>
    </xf>
    <xf borderId="24" fillId="8" fontId="2" numFmtId="0" xfId="0" applyAlignment="1" applyBorder="1" applyFill="1" applyFont="1">
      <alignment horizontal="center" readingOrder="0"/>
    </xf>
    <xf borderId="8" fillId="12" fontId="2" numFmtId="0" xfId="0" applyAlignment="1" applyBorder="1" applyFill="1" applyFont="1">
      <alignment horizontal="center" readingOrder="0"/>
    </xf>
    <xf borderId="24" fillId="12" fontId="2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3" fillId="4" fontId="19" numFmtId="0" xfId="0" applyAlignment="1" applyBorder="1" applyFill="1" applyFont="1">
      <alignment horizontal="center" readingOrder="0"/>
    </xf>
    <xf borderId="25" fillId="9" fontId="5" numFmtId="2" xfId="0" applyAlignment="1" applyBorder="1" applyFill="1" applyFont="1" applyNumberFormat="1">
      <alignment horizontal="center" readingOrder="0"/>
    </xf>
    <xf borderId="3" fillId="8" fontId="4" numFmtId="0" xfId="0" applyAlignment="1" applyBorder="1" applyFill="1" applyFont="1">
      <alignment horizontal="center" readingOrder="0"/>
    </xf>
    <xf borderId="1" fillId="12" fontId="2" numFmtId="0" xfId="0" applyAlignment="1" applyBorder="1" applyFill="1" applyFont="1">
      <alignment horizontal="center" readingOrder="0"/>
    </xf>
    <xf borderId="1" fillId="2" fontId="5" numFmtId="2" xfId="0" applyAlignment="1" applyBorder="1" applyFill="1" applyFont="1" applyNumberFormat="1">
      <alignment horizontal="center" readingOrder="0"/>
    </xf>
    <xf borderId="0" fillId="0" fontId="20" numFmtId="0" xfId="0" applyAlignment="1" applyFont="1">
      <alignment horizontal="right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20" fillId="2" fontId="5" numFmtId="2" xfId="0" applyAlignment="1" applyBorder="1" applyFill="1" applyFont="1" applyNumberFormat="1">
      <alignment horizontal="center" readingOrder="0"/>
    </xf>
    <xf borderId="41" fillId="0" fontId="3" numFmtId="0" xfId="0" applyBorder="1" applyFont="1"/>
    <xf borderId="42" fillId="13" fontId="16" numFmtId="0" xfId="0" applyAlignment="1" applyBorder="1" applyFill="1" applyFont="1">
      <alignment horizontal="center" readingOrder="0"/>
    </xf>
    <xf borderId="27" fillId="0" fontId="3" numFmtId="0" xfId="0" applyBorder="1" applyFont="1"/>
    <xf borderId="0" fillId="14" fontId="2" numFmtId="0" xfId="0" applyAlignment="1" applyFill="1" applyFont="1">
      <alignment horizontal="center" readingOrder="0"/>
    </xf>
    <xf borderId="2" fillId="13" fontId="17" numFmtId="0" xfId="0" applyAlignment="1" applyBorder="1" applyFill="1" applyFont="1">
      <alignment horizontal="center" readingOrder="0"/>
    </xf>
    <xf borderId="4" fillId="2" fontId="4" numFmtId="0" xfId="0" applyAlignment="1" applyBorder="1" applyFill="1" applyFont="1">
      <alignment horizontal="center" readingOrder="0"/>
    </xf>
    <xf borderId="4" fillId="0" fontId="19" numFmtId="0" xfId="0" applyAlignment="1" applyBorder="1" applyFont="1">
      <alignment horizontal="center" readingOrder="0"/>
    </xf>
    <xf borderId="19" fillId="13" fontId="17" numFmtId="0" xfId="0" applyAlignment="1" applyBorder="1" applyFill="1" applyFont="1">
      <alignment horizontal="center" readingOrder="0"/>
    </xf>
    <xf borderId="30" fillId="8" fontId="4" numFmtId="0" xfId="0" applyAlignment="1" applyBorder="1" applyFill="1" applyFont="1">
      <alignment horizontal="center" readingOrder="0"/>
    </xf>
    <xf borderId="43" fillId="2" fontId="4" numFmtId="2" xfId="0" applyAlignment="1" applyBorder="1" applyFill="1" applyFont="1" applyNumberFormat="1">
      <alignment horizontal="center" readingOrder="0"/>
    </xf>
    <xf borderId="44" fillId="0" fontId="3" numFmtId="0" xfId="0" applyBorder="1" applyFont="1"/>
    <xf borderId="23" fillId="15" fontId="4" numFmtId="0" xfId="0" applyAlignment="1" applyBorder="1" applyFill="1" applyFont="1">
      <alignment horizontal="center" readingOrder="0"/>
    </xf>
    <xf borderId="45" fillId="0" fontId="5" numFmtId="0" xfId="0" applyAlignment="1" applyBorder="1" applyFont="1">
      <alignment horizontal="center" readingOrder="0"/>
    </xf>
    <xf borderId="23" fillId="16" fontId="4" numFmtId="0" xfId="0" applyAlignment="1" applyBorder="1" applyFill="1" applyFont="1">
      <alignment horizontal="center" readingOrder="0"/>
    </xf>
    <xf borderId="24" fillId="4" fontId="21" numFmtId="1" xfId="0" applyAlignment="1" applyBorder="1" applyFill="1" applyFont="1" applyNumberFormat="1">
      <alignment horizontal="center"/>
    </xf>
    <xf borderId="3" fillId="15" fontId="4" numFmtId="0" xfId="0" applyAlignment="1" applyBorder="1" applyFill="1" applyFont="1">
      <alignment horizontal="center" readingOrder="0"/>
    </xf>
    <xf borderId="39" fillId="0" fontId="5" numFmtId="0" xfId="0" applyAlignment="1" applyBorder="1" applyFont="1">
      <alignment horizontal="center" readingOrder="0"/>
    </xf>
    <xf borderId="3" fillId="16" fontId="4" numFmtId="0" xfId="0" applyAlignment="1" applyBorder="1" applyFill="1" applyFont="1">
      <alignment horizontal="center" readingOrder="0"/>
    </xf>
    <xf borderId="25" fillId="4" fontId="21" numFmtId="9" xfId="0" applyAlignment="1" applyBorder="1" applyFill="1" applyFont="1" applyNumberFormat="1">
      <alignment horizontal="center"/>
    </xf>
    <xf borderId="3" fillId="16" fontId="19" numFmtId="0" xfId="0" applyAlignment="1" applyBorder="1" applyFill="1" applyFont="1">
      <alignment horizontal="center" readingOrder="0"/>
    </xf>
    <xf borderId="25" fillId="4" fontId="21" numFmtId="0" xfId="0" applyAlignment="1" applyBorder="1" applyFill="1" applyFont="1">
      <alignment horizontal="center" readingOrder="0"/>
    </xf>
    <xf borderId="30" fillId="15" fontId="5" numFmtId="0" xfId="0" applyAlignment="1" applyBorder="1" applyFill="1" applyFont="1">
      <alignment horizontal="center" readingOrder="0"/>
    </xf>
    <xf borderId="46" fillId="0" fontId="5" numFmtId="0" xfId="0" applyAlignment="1" applyBorder="1" applyFont="1">
      <alignment horizontal="center" readingOrder="0"/>
    </xf>
    <xf borderId="30" fillId="16" fontId="19" numFmtId="0" xfId="0" applyAlignment="1" applyBorder="1" applyFill="1" applyFont="1">
      <alignment horizontal="center" readingOrder="0"/>
    </xf>
    <xf borderId="31" fillId="4" fontId="2" numFmtId="0" xfId="0" applyAlignment="1" applyBorder="1" applyFill="1" applyFont="1">
      <alignment horizontal="center" readingOrder="0"/>
    </xf>
    <xf borderId="5" fillId="7" fontId="22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5" fillId="0" fontId="3" numFmtId="0" xfId="0" applyBorder="1" applyFont="1"/>
    <xf borderId="9" fillId="3" fontId="2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5" fillId="2" fontId="23" numFmtId="1" xfId="0" applyAlignment="1" applyBorder="1" applyFill="1" applyFont="1" applyNumberFormat="1">
      <alignment horizontal="center" readingOrder="0" vertical="center"/>
    </xf>
    <xf borderId="6" fillId="2" fontId="24" numFmtId="1" xfId="0" applyAlignment="1" applyBorder="1" applyFill="1" applyFont="1" applyNumberFormat="1">
      <alignment horizontal="center" readingOrder="0" vertical="center"/>
    </xf>
    <xf borderId="26" fillId="17" fontId="4" numFmtId="0" xfId="0" applyAlignment="1" applyBorder="1" applyFill="1" applyFont="1">
      <alignment horizontal="center" readingOrder="0"/>
    </xf>
    <xf borderId="47" fillId="0" fontId="5" numFmtId="0" xfId="0" applyAlignment="1" applyBorder="1" applyFont="1">
      <alignment horizontal="center" readingOrder="0"/>
    </xf>
    <xf borderId="5" fillId="3" fontId="25" numFmtId="0" xfId="0" applyAlignment="1" applyBorder="1" applyFill="1" applyFont="1">
      <alignment horizontal="center" readingOrder="0" vertical="center"/>
    </xf>
    <xf borderId="0" fillId="0" fontId="26" numFmtId="0" xfId="0" applyAlignment="1" applyFont="1">
      <alignment horizontal="center" readingOrder="0"/>
    </xf>
    <xf borderId="3" fillId="17" fontId="4" numFmtId="0" xfId="0" applyAlignment="1" applyBorder="1" applyFill="1" applyFont="1">
      <alignment horizontal="center" readingOrder="0"/>
    </xf>
    <xf borderId="39" fillId="0" fontId="5" numFmtId="9" xfId="0" applyAlignment="1" applyBorder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0" fontId="27" numFmtId="0" xfId="0" applyAlignment="1" applyFont="1">
      <alignment horizontal="center" vertical="center"/>
    </xf>
    <xf borderId="7" fillId="2" fontId="28" numFmtId="1" xfId="0" applyAlignment="1" applyBorder="1" applyFill="1" applyFont="1" applyNumberFormat="1">
      <alignment horizontal="center" readingOrder="0" vertical="center"/>
    </xf>
    <xf borderId="13" fillId="2" fontId="4" numFmtId="1" xfId="0" applyAlignment="1" applyBorder="1" applyFill="1" applyFont="1" applyNumberFormat="1">
      <alignment horizontal="center" readingOrder="0" vertical="center"/>
    </xf>
    <xf borderId="36" fillId="2" fontId="29" numFmtId="0" xfId="0" applyAlignment="1" applyBorder="1" applyFill="1" applyFont="1">
      <alignment horizontal="center" readingOrder="0" vertical="center"/>
    </xf>
    <xf borderId="48" fillId="0" fontId="3" numFmtId="0" xfId="0" applyBorder="1" applyFont="1"/>
    <xf borderId="49" fillId="0" fontId="29" numFmtId="10" xfId="0" applyAlignment="1" applyBorder="1" applyFont="1" applyNumberFormat="1">
      <alignment horizontal="center" vertical="center"/>
    </xf>
    <xf borderId="0" fillId="2" fontId="30" numFmtId="0" xfId="0" applyAlignment="1" applyFill="1" applyFont="1">
      <alignment horizontal="center" readingOrder="0"/>
    </xf>
    <xf borderId="16" fillId="0" fontId="3" numFmtId="0" xfId="0" applyBorder="1" applyFont="1"/>
    <xf borderId="50" fillId="0" fontId="3" numFmtId="0" xfId="0" applyBorder="1" applyFont="1"/>
    <xf borderId="47" fillId="0" fontId="3" numFmtId="0" xfId="0" applyBorder="1" applyFont="1"/>
    <xf borderId="36" fillId="18" fontId="29" numFmtId="0" xfId="0" applyAlignment="1" applyBorder="1" applyFill="1" applyFont="1">
      <alignment horizontal="center" readingOrder="0" vertical="center"/>
    </xf>
    <xf borderId="0" fillId="0" fontId="30" numFmtId="0" xfId="0" applyAlignment="1" applyFont="1">
      <alignment horizontal="center" readingOrder="0"/>
    </xf>
    <xf borderId="30" fillId="17" fontId="4" numFmtId="0" xfId="0" applyAlignment="1" applyBorder="1" applyFill="1" applyFont="1">
      <alignment horizontal="center" readingOrder="0"/>
    </xf>
    <xf borderId="13" fillId="2" fontId="31" numFmtId="1" xfId="0" applyAlignment="1" applyBorder="1" applyFill="1" applyFont="1" applyNumberFormat="1">
      <alignment horizontal="center" readingOrder="0" vertical="center"/>
    </xf>
    <xf borderId="51" fillId="8" fontId="29" numFmtId="0" xfId="0" applyAlignment="1" applyBorder="1" applyFill="1" applyFont="1">
      <alignment horizontal="center" readingOrder="0" vertical="center"/>
    </xf>
    <xf borderId="52" fillId="0" fontId="3" numFmtId="0" xfId="0" applyBorder="1" applyFont="1"/>
    <xf borderId="53" fillId="0" fontId="29" numFmtId="10" xfId="0" applyAlignment="1" applyBorder="1" applyFont="1" applyNumberFormat="1">
      <alignment horizontal="center" vertical="center"/>
    </xf>
    <xf borderId="5" fillId="3" fontId="2" numFmtId="0" xfId="0" applyAlignment="1" applyBorder="1" applyFill="1" applyFont="1">
      <alignment horizontal="center" readingOrder="0" vertical="center"/>
    </xf>
    <xf borderId="54" fillId="0" fontId="3" numFmtId="0" xfId="0" applyBorder="1" applyFont="1"/>
    <xf borderId="55" fillId="0" fontId="3" numFmtId="0" xfId="0" applyBorder="1" applyFont="1"/>
    <xf borderId="9" fillId="2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20">
    <dxf>
      <font/>
      <fill>
        <patternFill patternType="solid">
          <fgColor rgb="FFB4A7D6"/>
          <bgColor rgb="FFB4A7D6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theme="0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theme="1"/>
      </font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theme="0"/>
      </font>
      <fill>
        <patternFill patternType="solid">
          <fgColor rgb="FF85200C"/>
          <bgColor rgb="FF85200C"/>
        </patternFill>
      </fill>
      <border/>
    </dxf>
    <dxf>
      <font>
        <color theme="0"/>
      </font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479830148619958"/>
          <c:y val="0.05"/>
          <c:w val="0.9104033970276008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EA9999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Pt>
            <c:idx val="2"/>
            <c:spPr>
              <a:solidFill>
                <a:srgbClr val="85200C"/>
              </a:solidFill>
            </c:spPr>
          </c:dPt>
          <c:dPt>
            <c:idx val="3"/>
            <c:spPr>
              <a:solidFill>
                <a:srgbClr val="999999"/>
              </a:solidFill>
            </c:spPr>
          </c:dPt>
          <c:dPt>
            <c:idx val="4"/>
            <c:spPr>
              <a:solidFill>
                <a:schemeClr val="dk1"/>
              </a:solidFill>
            </c:spPr>
          </c:dPt>
          <c:dPt>
            <c:idx val="5"/>
            <c:spPr>
              <a:solidFill>
                <a:schemeClr val="dk1"/>
              </a:solidFill>
            </c:spPr>
          </c:dPt>
          <c:dPt>
            <c:idx val="6"/>
            <c:spPr>
              <a:solidFill>
                <a:srgbClr val="000000"/>
              </a:solidFill>
            </c:spPr>
          </c:dPt>
          <c:dPt>
            <c:idx val="7"/>
            <c:spPr>
              <a:solidFill>
                <a:srgbClr val="B4A7D6"/>
              </a:solidFill>
            </c:spPr>
          </c:dPt>
          <c:dPt>
            <c:idx val="8"/>
            <c:spPr>
              <a:solidFill>
                <a:srgbClr val="F9CB9C"/>
              </a:solidFill>
            </c:spPr>
          </c:dPt>
          <c:dPt>
            <c:idx val="9"/>
            <c:spPr>
              <a:solidFill>
                <a:srgbClr val="E69138"/>
              </a:solidFill>
            </c:spPr>
          </c:dPt>
          <c:dPt>
            <c:idx val="10"/>
            <c:spPr>
              <a:solidFill>
                <a:srgbClr val="93C47D"/>
              </a:solidFill>
            </c:spPr>
          </c:dPt>
          <c:dPt>
            <c:idx val="11"/>
            <c:spPr>
              <a:solidFill>
                <a:srgbClr val="6AA84F"/>
              </a:solidFill>
            </c:spPr>
          </c:dPt>
          <c:dPt>
            <c:idx val="12"/>
            <c:spPr>
              <a:solidFill>
                <a:srgbClr val="EA99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'스카우터 기초자료'!$L$7:$L$19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90"/>
      </c:doughnutChart>
    </c:plotArea>
    <c:plotVisOnly val="1"/>
  </c:chart>
  <c:spPr>
    <a:solidFill>
      <a:srgbClr val="FFFFFF">
        <a:alpha val="0"/>
      </a:srgbClr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2</xdr:row>
      <xdr:rowOff>104775</xdr:rowOff>
    </xdr:from>
    <xdr:ext cx="3705225" cy="3676650"/>
    <xdr:pic>
      <xdr:nvPicPr>
        <xdr:cNvPr id="7400536" name="Chart1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1</xdr:row>
      <xdr:rowOff>142875</xdr:rowOff>
    </xdr:from>
    <xdr:ext cx="4438650" cy="4019550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19050</xdr:colOff>
      <xdr:row>4</xdr:row>
      <xdr:rowOff>66675</xdr:rowOff>
    </xdr:from>
    <xdr:ext cx="2438400" cy="1314450"/>
    <xdr:sp>
      <xdr:nvSpPr>
        <xdr:cNvPr id="3" name="Shape 3"/>
        <xdr:cNvSpPr txBox="1"/>
      </xdr:nvSpPr>
      <xdr:spPr>
        <a:xfrm>
          <a:off x="2347500" y="1246800"/>
          <a:ext cx="2357100" cy="1293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>
              <a:latin typeface="Black Han Sans"/>
              <a:ea typeface="Black Han Sans"/>
              <a:cs typeface="Black Han Sans"/>
              <a:sym typeface="Black Han Sans"/>
            </a:rPr>
            <a:t>환산</a:t>
          </a:r>
          <a:br>
            <a:rPr lang="en-US" sz="3600">
              <a:latin typeface="Black Han Sans"/>
              <a:ea typeface="Black Han Sans"/>
              <a:cs typeface="Black Han Sans"/>
              <a:sym typeface="Black Han Sans"/>
            </a:rPr>
          </a:br>
          <a:r>
            <a:rPr lang="en-US" sz="3600">
              <a:latin typeface="Black Han Sans"/>
              <a:ea typeface="Black Han Sans"/>
              <a:cs typeface="Black Han Sans"/>
              <a:sym typeface="Black Han Sans"/>
            </a:rPr>
            <a:t>주스탯</a:t>
          </a:r>
          <a:endParaRPr sz="3600">
            <a:latin typeface="Black Han Sans"/>
            <a:ea typeface="Black Han Sans"/>
            <a:cs typeface="Black Han Sans"/>
            <a:sym typeface="Black Han Sans"/>
          </a:endParaRPr>
        </a:p>
      </xdr:txBody>
    </xdr:sp>
    <xdr:clientData fLocksWithSheet="0"/>
  </xdr:oneCellAnchor>
  <xdr:oneCellAnchor>
    <xdr:from>
      <xdr:col>10</xdr:col>
      <xdr:colOff>152400</xdr:colOff>
      <xdr:row>18</xdr:row>
      <xdr:rowOff>28575</xdr:rowOff>
    </xdr:from>
    <xdr:ext cx="542925" cy="533400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</xdr:row>
      <xdr:rowOff>104775</xdr:rowOff>
    </xdr:from>
    <xdr:ext cx="542925" cy="533400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504825</xdr:colOff>
      <xdr:row>18</xdr:row>
      <xdr:rowOff>28575</xdr:rowOff>
    </xdr:from>
    <xdr:ext cx="542925" cy="533400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504825</xdr:colOff>
      <xdr:row>2</xdr:row>
      <xdr:rowOff>104775</xdr:rowOff>
    </xdr:from>
    <xdr:ext cx="542925" cy="533400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1</xdr:row>
      <xdr:rowOff>-76200</xdr:rowOff>
    </xdr:from>
    <xdr:ext cx="9858375" cy="104679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1"/>
      <c r="B6" s="1"/>
      <c r="C6" s="14" t="s">
        <v>11</v>
      </c>
      <c r="D6" s="14" t="s">
        <v>17</v>
      </c>
      <c r="E6" s="1" t="s">
        <v>19</v>
      </c>
      <c r="F6" s="1" t="s">
        <v>21</v>
      </c>
      <c r="G6" s="1" t="s">
        <v>22</v>
      </c>
      <c r="H6" s="1"/>
      <c r="I6" s="20" t="s">
        <v>25</v>
      </c>
      <c r="J6" s="1"/>
    </row>
    <row r="7">
      <c r="A7" s="21">
        <v>1.0</v>
      </c>
      <c r="B7" s="23" t="s">
        <v>33</v>
      </c>
      <c r="C7" s="21">
        <f>if('스카우터'!$D$8=true,if('스카우터'!$E$8="1추",G7,F7),if('스카우터'!$E$8="1추",E7,D7))</f>
        <v>875</v>
      </c>
      <c r="D7" s="21">
        <v>759.0</v>
      </c>
      <c r="E7" s="21">
        <v>799.0</v>
      </c>
      <c r="F7" s="21">
        <v>828.0</v>
      </c>
      <c r="G7" s="21">
        <v>875.0</v>
      </c>
      <c r="H7" s="23"/>
      <c r="I7" s="1">
        <f t="shared" ref="I7:I49" si="1">C7-$C$7</f>
        <v>0</v>
      </c>
      <c r="J7" s="1"/>
    </row>
    <row r="8">
      <c r="A8" s="21">
        <v>2.0</v>
      </c>
      <c r="B8" s="23" t="s">
        <v>36</v>
      </c>
      <c r="C8" s="21">
        <f>if('스카우터'!$D$8=true,if('스카우터'!$E$8="1추",G8,F8),if('스카우터'!$E$8="1추",E8,D8))</f>
        <v>875</v>
      </c>
      <c r="D8" s="21">
        <v>759.0</v>
      </c>
      <c r="E8" s="21">
        <v>799.0</v>
      </c>
      <c r="F8" s="21">
        <v>828.0</v>
      </c>
      <c r="G8" s="21">
        <v>875.0</v>
      </c>
      <c r="H8" s="23"/>
      <c r="I8" s="1">
        <f t="shared" si="1"/>
        <v>0</v>
      </c>
      <c r="J8" s="1"/>
    </row>
    <row r="9">
      <c r="A9" s="21">
        <v>3.0</v>
      </c>
      <c r="B9" s="23" t="s">
        <v>38</v>
      </c>
      <c r="C9" s="21">
        <f>if('스카우터'!$D$8=true,if('스카우터'!$E$8="1추",G9,F9),if('스카우터'!$E$8="1추",E9,D9))</f>
        <v>832</v>
      </c>
      <c r="D9" s="21">
        <v>725.0</v>
      </c>
      <c r="E9" s="21">
        <v>762.0</v>
      </c>
      <c r="F9" s="21">
        <v>789.0</v>
      </c>
      <c r="G9" s="21">
        <v>832.0</v>
      </c>
      <c r="H9" s="23"/>
      <c r="I9" s="1">
        <f t="shared" si="1"/>
        <v>-43</v>
      </c>
      <c r="J9" s="1"/>
    </row>
    <row r="10">
      <c r="A10" s="21">
        <v>4.0</v>
      </c>
      <c r="B10" s="23" t="s">
        <v>40</v>
      </c>
      <c r="C10" s="21">
        <f>if('스카우터'!$D$8=true,if('스카우터'!$E$8="1추",G10,F10),if('스카우터'!$E$8="1추",E10,D10))</f>
        <v>832</v>
      </c>
      <c r="D10" s="21">
        <v>725.0</v>
      </c>
      <c r="E10" s="21">
        <v>762.0</v>
      </c>
      <c r="F10" s="21">
        <v>789.0</v>
      </c>
      <c r="G10" s="21">
        <v>832.0</v>
      </c>
      <c r="H10" s="23"/>
      <c r="I10" s="1">
        <f t="shared" si="1"/>
        <v>-43</v>
      </c>
      <c r="J10" s="1"/>
    </row>
    <row r="11">
      <c r="A11" s="21">
        <v>5.0</v>
      </c>
      <c r="B11" s="23" t="s">
        <v>42</v>
      </c>
      <c r="C11" s="21">
        <f>if('스카우터'!$D$8=true,if('스카우터'!$E$8="1추",G11,F11),if('스카우터'!$E$8="1추",E11,D11))</f>
        <v>707</v>
      </c>
      <c r="D11" s="21">
        <v>624.0</v>
      </c>
      <c r="E11" s="21">
        <v>654.0</v>
      </c>
      <c r="F11" s="21">
        <v>673.0</v>
      </c>
      <c r="G11" s="21">
        <v>707.0</v>
      </c>
      <c r="H11" s="23"/>
      <c r="I11" s="1">
        <f t="shared" si="1"/>
        <v>-168</v>
      </c>
      <c r="J11" s="1"/>
    </row>
    <row r="12">
      <c r="A12" s="21">
        <v>6.0</v>
      </c>
      <c r="B12" s="23" t="s">
        <v>44</v>
      </c>
      <c r="C12" s="21">
        <f>if('스카우터'!$D$8=true,if('스카우터'!$E$8="1추",G12,F12),if('스카우터'!$E$8="1추",E12,D12))</f>
        <v>875</v>
      </c>
      <c r="D12" s="21">
        <v>759.0</v>
      </c>
      <c r="E12" s="21">
        <v>799.0</v>
      </c>
      <c r="F12" s="21">
        <v>828.0</v>
      </c>
      <c r="G12" s="21">
        <v>875.0</v>
      </c>
      <c r="H12" s="23"/>
      <c r="I12" s="1">
        <f t="shared" si="1"/>
        <v>0</v>
      </c>
      <c r="J12" s="1"/>
    </row>
    <row r="13">
      <c r="A13" s="21">
        <v>7.0</v>
      </c>
      <c r="B13" s="23" t="s">
        <v>46</v>
      </c>
      <c r="C13" s="21">
        <f>if('스카우터'!$D$8=true,if('스카우터'!$E$8="1추",G13,F13),if('스카우터'!$E$8="1추",E13,D13))</f>
        <v>832</v>
      </c>
      <c r="D13" s="21">
        <v>725.0</v>
      </c>
      <c r="E13" s="21">
        <v>762.0</v>
      </c>
      <c r="F13" s="21">
        <v>789.0</v>
      </c>
      <c r="G13" s="21">
        <v>832.0</v>
      </c>
      <c r="H13" s="23"/>
      <c r="I13" s="1">
        <f t="shared" si="1"/>
        <v>-43</v>
      </c>
      <c r="J13" s="1"/>
    </row>
    <row r="14">
      <c r="A14" s="21">
        <v>8.0</v>
      </c>
      <c r="B14" s="23" t="s">
        <v>48</v>
      </c>
      <c r="C14" s="21">
        <f>if('스카우터'!$D$8=true,if('스카우터'!$E$8="1추",G14,F14),if('스카우터'!$E$8="1추",E14,D14))</f>
        <v>574</v>
      </c>
      <c r="D14" s="21">
        <v>492.0</v>
      </c>
      <c r="E14" s="21">
        <v>512.0</v>
      </c>
      <c r="F14" s="21">
        <v>551.0</v>
      </c>
      <c r="G14" s="21">
        <v>574.0</v>
      </c>
      <c r="H14" s="23"/>
      <c r="I14" s="1">
        <f t="shared" si="1"/>
        <v>-301</v>
      </c>
      <c r="J14" s="1"/>
    </row>
    <row r="15">
      <c r="A15" s="21">
        <v>9.0</v>
      </c>
      <c r="B15" s="23" t="s">
        <v>49</v>
      </c>
      <c r="C15" s="21">
        <f>if('스카우터'!$D$8=true,if('스카우터'!$E$8="1추",G15,F15),if('스카우터'!$E$8="1추",E15,D15))</f>
        <v>707</v>
      </c>
      <c r="D15" s="21">
        <v>624.0</v>
      </c>
      <c r="E15" s="21">
        <v>654.0</v>
      </c>
      <c r="F15" s="21">
        <v>673.0</v>
      </c>
      <c r="G15" s="21">
        <v>707.0</v>
      </c>
      <c r="H15" s="23"/>
      <c r="I15" s="1">
        <f t="shared" si="1"/>
        <v>-168</v>
      </c>
      <c r="J15" s="1"/>
    </row>
    <row r="16">
      <c r="A16" s="21">
        <v>10.0</v>
      </c>
      <c r="B16" s="23" t="s">
        <v>51</v>
      </c>
      <c r="C16" s="21">
        <f>if('스카우터'!$D$8=true,if('스카우터'!$E$8="1추",G16,F16),if('스카우터'!$E$8="1추",E16,D16))</f>
        <v>848</v>
      </c>
      <c r="D16" s="21">
        <v>733.0</v>
      </c>
      <c r="E16" s="21">
        <v>770.0</v>
      </c>
      <c r="F16" s="21">
        <v>804.0</v>
      </c>
      <c r="G16" s="21">
        <v>848.0</v>
      </c>
      <c r="H16" s="23"/>
      <c r="I16" s="1">
        <f t="shared" si="1"/>
        <v>-27</v>
      </c>
      <c r="J16" s="1"/>
    </row>
    <row r="17">
      <c r="A17" s="21">
        <v>11.0</v>
      </c>
      <c r="B17" s="23" t="s">
        <v>52</v>
      </c>
      <c r="C17" s="21">
        <f>if('스카우터'!$D$8=true,if('스카우터'!$E$8="1추",G17,F17),if('스카우터'!$E$8="1추",E17,D17))</f>
        <v>832</v>
      </c>
      <c r="D17" s="21">
        <f>725</f>
        <v>725</v>
      </c>
      <c r="E17" s="21">
        <v>762.0</v>
      </c>
      <c r="F17" s="21">
        <v>789.0</v>
      </c>
      <c r="G17" s="21">
        <v>832.0</v>
      </c>
      <c r="H17" s="23"/>
      <c r="I17" s="1">
        <f t="shared" si="1"/>
        <v>-43</v>
      </c>
      <c r="J17" s="1"/>
    </row>
    <row r="18">
      <c r="A18" s="21">
        <v>12.0</v>
      </c>
      <c r="B18" s="23" t="s">
        <v>54</v>
      </c>
      <c r="C18" s="21">
        <f>if('스카우터'!$D$8=true,if('스카우터'!$E$8="1추",G18,F18),if('스카우터'!$E$8="1추",E18,D18))</f>
        <v>875</v>
      </c>
      <c r="D18" s="21">
        <v>759.0</v>
      </c>
      <c r="E18" s="21">
        <v>799.0</v>
      </c>
      <c r="F18" s="21">
        <v>828.0</v>
      </c>
      <c r="G18" s="21">
        <v>875.0</v>
      </c>
      <c r="H18" s="23"/>
      <c r="I18" s="1">
        <f t="shared" si="1"/>
        <v>0</v>
      </c>
      <c r="J18" s="1"/>
    </row>
    <row r="19">
      <c r="A19" s="21">
        <v>13.0</v>
      </c>
      <c r="B19" s="23" t="s">
        <v>56</v>
      </c>
      <c r="C19" s="21">
        <f>if('스카우터'!$D$8=true,if('스카우터'!$E$8="1추",G19,F19),if('스카우터'!$E$8="1추",E19,D19))</f>
        <v>820</v>
      </c>
      <c r="D19" s="21">
        <v>714.0</v>
      </c>
      <c r="E19" s="21">
        <v>750.0</v>
      </c>
      <c r="F19" s="21">
        <v>779.0</v>
      </c>
      <c r="G19" s="21">
        <v>820.0</v>
      </c>
      <c r="H19" s="23"/>
      <c r="I19" s="1">
        <f t="shared" si="1"/>
        <v>-55</v>
      </c>
      <c r="J19" s="1"/>
    </row>
    <row r="20">
      <c r="A20" s="21">
        <v>14.0</v>
      </c>
      <c r="B20" s="23" t="s">
        <v>58</v>
      </c>
      <c r="C20" s="21">
        <f>if('스카우터'!$D$8=true,if('스카우터'!$E$8="1추",G20,F20),if('스카우터'!$E$8="1추",E20,D20))</f>
        <v>696</v>
      </c>
      <c r="D20" s="21">
        <v>615.0</v>
      </c>
      <c r="E20" s="21">
        <v>644.0</v>
      </c>
      <c r="F20" s="21">
        <v>662.0</v>
      </c>
      <c r="G20" s="21">
        <v>696.0</v>
      </c>
      <c r="H20" s="23"/>
      <c r="I20" s="1">
        <f t="shared" si="1"/>
        <v>-179</v>
      </c>
      <c r="J20" s="1"/>
    </row>
    <row r="21">
      <c r="A21" s="21">
        <v>15.0</v>
      </c>
      <c r="B21" s="23" t="s">
        <v>60</v>
      </c>
      <c r="C21" s="21">
        <f>if('스카우터'!$D$8=true,if('스카우터'!$E$8="1추",G21,F21),if('스카우터'!$E$8="1추",E21,D21))</f>
        <v>1004</v>
      </c>
      <c r="D21" s="21">
        <v>865.0</v>
      </c>
      <c r="E21" s="21">
        <v>913.0</v>
      </c>
      <c r="F21" s="21">
        <v>949.0</v>
      </c>
      <c r="G21" s="21">
        <v>1004.0</v>
      </c>
      <c r="H21" s="23"/>
      <c r="I21" s="1">
        <f t="shared" si="1"/>
        <v>129</v>
      </c>
      <c r="J21" s="1"/>
    </row>
    <row r="22">
      <c r="A22" s="21">
        <v>16.0</v>
      </c>
      <c r="B22" s="23" t="s">
        <v>62</v>
      </c>
      <c r="C22" s="21">
        <f>if('스카우터'!$D$8=true,if('스카우터'!$E$8="1추",G22,F22),if('스카우터'!$E$8="1추",E22,D22))</f>
        <v>832</v>
      </c>
      <c r="D22" s="21">
        <v>725.0</v>
      </c>
      <c r="E22" s="21">
        <v>762.0</v>
      </c>
      <c r="F22" s="21">
        <v>789.0</v>
      </c>
      <c r="G22" s="21">
        <v>832.0</v>
      </c>
      <c r="H22" s="23"/>
      <c r="I22" s="1">
        <f t="shared" si="1"/>
        <v>-43</v>
      </c>
      <c r="J22" s="1"/>
    </row>
    <row r="23">
      <c r="A23" s="21">
        <v>17.0</v>
      </c>
      <c r="B23" s="23" t="s">
        <v>64</v>
      </c>
      <c r="C23" s="21">
        <f>if('스카우터'!$D$8=true,if('스카우터'!$E$8="1추",G23,F23),if('스카우터'!$E$8="1추",E23,D23))</f>
        <v>1004</v>
      </c>
      <c r="D23" s="21">
        <v>865.0</v>
      </c>
      <c r="E23" s="21">
        <v>913.0</v>
      </c>
      <c r="F23" s="21">
        <v>949.0</v>
      </c>
      <c r="G23" s="21">
        <v>1004.0</v>
      </c>
      <c r="H23" s="23"/>
      <c r="I23" s="1">
        <f t="shared" si="1"/>
        <v>129</v>
      </c>
      <c r="J23" s="1"/>
    </row>
    <row r="24">
      <c r="A24" s="21">
        <v>18.0</v>
      </c>
      <c r="B24" s="23" t="s">
        <v>66</v>
      </c>
      <c r="C24" s="21">
        <f>if('스카우터'!$D$8=true,if('스카우터'!$E$8="1추",G24,F24),if('스카우터'!$E$8="1추",E24,D24))</f>
        <v>832</v>
      </c>
      <c r="D24" s="21">
        <v>725.0</v>
      </c>
      <c r="E24" s="21">
        <v>762.0</v>
      </c>
      <c r="F24" s="21">
        <v>789.0</v>
      </c>
      <c r="G24" s="21">
        <v>832.0</v>
      </c>
      <c r="H24" s="23"/>
      <c r="I24" s="1">
        <f t="shared" si="1"/>
        <v>-43</v>
      </c>
      <c r="J24" s="1"/>
    </row>
    <row r="25">
      <c r="A25" s="34">
        <v>19.0</v>
      </c>
      <c r="B25" s="23" t="s">
        <v>68</v>
      </c>
      <c r="C25" s="21">
        <f>if('스카우터'!$D$8=true,if('스카우터'!$E$8="1추",G25,F25),if('스카우터'!$E$8="1추",E25,D25))</f>
        <v>707</v>
      </c>
      <c r="D25" s="34">
        <v>624.0</v>
      </c>
      <c r="E25" s="34">
        <v>654.0</v>
      </c>
      <c r="F25" s="21">
        <v>673.0</v>
      </c>
      <c r="G25" s="21">
        <v>707.0</v>
      </c>
      <c r="H25" s="23"/>
      <c r="I25" s="1">
        <f t="shared" si="1"/>
        <v>-168</v>
      </c>
      <c r="J25" s="1"/>
    </row>
    <row r="26">
      <c r="A26" s="21">
        <v>20.0</v>
      </c>
      <c r="B26" s="23" t="s">
        <v>70</v>
      </c>
      <c r="C26" s="21">
        <f>if('스카우터'!$D$8=true,if('스카우터'!$E$8="1추",G26,F26),if('스카우터'!$E$8="1추",E26,D26))</f>
        <v>804</v>
      </c>
      <c r="D26" s="21">
        <v>703.0</v>
      </c>
      <c r="E26" s="21">
        <v>739.0</v>
      </c>
      <c r="F26" s="21">
        <v>763.0</v>
      </c>
      <c r="G26" s="21">
        <v>804.0</v>
      </c>
      <c r="H26" s="23"/>
      <c r="I26" s="1">
        <f t="shared" si="1"/>
        <v>-71</v>
      </c>
      <c r="J26" s="1"/>
    </row>
    <row r="27">
      <c r="A27" s="21">
        <v>21.0</v>
      </c>
      <c r="B27" s="23" t="s">
        <v>72</v>
      </c>
      <c r="C27" s="21">
        <f>if('스카우터'!$D$8=true,if('스카우터'!$E$8="1추",G27,F27),if('스카우터'!$E$8="1추",E27,D27))</f>
        <v>992</v>
      </c>
      <c r="D27" s="21">
        <v>853.0</v>
      </c>
      <c r="E27" s="21">
        <v>900.0</v>
      </c>
      <c r="F27" s="21">
        <v>938.0</v>
      </c>
      <c r="G27" s="21">
        <v>992.0</v>
      </c>
      <c r="H27" s="23"/>
      <c r="I27" s="1">
        <f t="shared" si="1"/>
        <v>117</v>
      </c>
      <c r="J27" s="1"/>
    </row>
    <row r="28">
      <c r="A28" s="21">
        <v>22.0</v>
      </c>
      <c r="B28" s="23" t="s">
        <v>74</v>
      </c>
      <c r="C28" s="21">
        <f>if('스카우터'!$D$8=true,if('스카우터'!$E$8="1추",G28,F28),if('스카우터'!$E$8="1추",E28,D28))</f>
        <v>875</v>
      </c>
      <c r="D28" s="21">
        <v>759.0</v>
      </c>
      <c r="E28" s="21">
        <v>799.0</v>
      </c>
      <c r="F28" s="21">
        <v>828.0</v>
      </c>
      <c r="G28" s="21">
        <v>875.0</v>
      </c>
      <c r="H28" s="23"/>
      <c r="I28" s="1">
        <f t="shared" si="1"/>
        <v>0</v>
      </c>
      <c r="J28" s="1"/>
    </row>
    <row r="29">
      <c r="A29" s="21">
        <v>23.0</v>
      </c>
      <c r="B29" s="23" t="s">
        <v>76</v>
      </c>
      <c r="C29" s="21">
        <f>if('스카우터'!$D$8=true,if('스카우터'!$E$8="1추",G29,F29),if('스카우터'!$E$8="1추",E29,D29))</f>
        <v>848</v>
      </c>
      <c r="D29" s="21">
        <v>736.0</v>
      </c>
      <c r="E29" s="21">
        <v>775.0</v>
      </c>
      <c r="F29" s="21">
        <v>804.0</v>
      </c>
      <c r="G29" s="21">
        <v>848.0</v>
      </c>
      <c r="H29" s="23"/>
      <c r="I29" s="1">
        <f t="shared" si="1"/>
        <v>-27</v>
      </c>
      <c r="J29" s="1"/>
    </row>
    <row r="30">
      <c r="A30" s="21">
        <v>24.0</v>
      </c>
      <c r="B30" s="23" t="s">
        <v>78</v>
      </c>
      <c r="C30" s="21">
        <f>if('스카우터'!$D$8=true,if('스카우터'!$E$8="1추",G30,F30),if('스카우터'!$E$8="1추",E30,D30))</f>
        <v>891</v>
      </c>
      <c r="D30" s="21">
        <v>771.0</v>
      </c>
      <c r="E30" s="21">
        <v>812.0</v>
      </c>
      <c r="F30" s="21">
        <v>843.0</v>
      </c>
      <c r="G30" s="21">
        <v>891.0</v>
      </c>
      <c r="H30" s="23"/>
      <c r="I30" s="1">
        <f t="shared" si="1"/>
        <v>16</v>
      </c>
      <c r="J30" s="1"/>
    </row>
    <row r="31">
      <c r="A31" s="21">
        <v>25.0</v>
      </c>
      <c r="B31" s="23" t="s">
        <v>80</v>
      </c>
      <c r="C31" s="21">
        <f>if('스카우터'!$D$8=true,if('스카우터'!$E$8="1추",G31,F31),if('스카우터'!$E$8="1추",E31,D31))</f>
        <v>696</v>
      </c>
      <c r="D31" s="21">
        <v>615.0</v>
      </c>
      <c r="E31" s="21">
        <v>644.0</v>
      </c>
      <c r="F31" s="21">
        <v>662.0</v>
      </c>
      <c r="G31" s="21">
        <v>696.0</v>
      </c>
      <c r="H31" s="23"/>
      <c r="I31" s="1">
        <f t="shared" si="1"/>
        <v>-179</v>
      </c>
      <c r="J31" s="1"/>
    </row>
    <row r="32">
      <c r="A32" s="21">
        <v>26.0</v>
      </c>
      <c r="B32" s="23" t="s">
        <v>82</v>
      </c>
      <c r="C32" s="21">
        <f>if('스카우터'!$D$8=true,if('스카우터'!$E$8="1추",G32,F32),if('스카우터'!$E$8="1추",E32,D32))</f>
        <v>832</v>
      </c>
      <c r="D32" s="21">
        <v>725.0</v>
      </c>
      <c r="E32" s="21">
        <v>762.0</v>
      </c>
      <c r="F32" s="21">
        <v>789.0</v>
      </c>
      <c r="G32" s="21">
        <v>832.0</v>
      </c>
      <c r="H32" s="23"/>
      <c r="I32" s="1">
        <f t="shared" si="1"/>
        <v>-43</v>
      </c>
      <c r="J32" s="1"/>
    </row>
    <row r="33">
      <c r="A33" s="21">
        <v>27.0</v>
      </c>
      <c r="B33" s="23" t="s">
        <v>84</v>
      </c>
      <c r="C33" s="21">
        <f>if('스카우터'!$D$8=true,if('스카우터'!$E$8="1추",G33,F33),if('스카우터'!$E$8="1추",E33,D33))</f>
        <v>707</v>
      </c>
      <c r="D33" s="21">
        <v>624.0</v>
      </c>
      <c r="E33" s="21">
        <v>654.0</v>
      </c>
      <c r="F33" s="21">
        <v>673.0</v>
      </c>
      <c r="G33" s="21">
        <v>707.0</v>
      </c>
      <c r="H33" s="23"/>
      <c r="I33" s="1">
        <f t="shared" si="1"/>
        <v>-168</v>
      </c>
      <c r="J33" s="1"/>
    </row>
    <row r="34">
      <c r="A34" s="21">
        <v>28.0</v>
      </c>
      <c r="B34" s="23" t="s">
        <v>85</v>
      </c>
      <c r="C34" s="21">
        <f>if('스카우터'!$D$8=true,if('스카우터'!$E$8="1추",G34,F34),if('스카우터'!$E$8="1추",E34,D34))</f>
        <v>992</v>
      </c>
      <c r="D34" s="21">
        <v>853.0</v>
      </c>
      <c r="E34" s="21">
        <v>900.0</v>
      </c>
      <c r="F34" s="21">
        <v>938.0</v>
      </c>
      <c r="G34" s="21">
        <v>992.0</v>
      </c>
      <c r="H34" s="23"/>
      <c r="I34" s="1">
        <f t="shared" si="1"/>
        <v>117</v>
      </c>
      <c r="J34" s="1"/>
    </row>
    <row r="35">
      <c r="A35" s="21">
        <v>29.0</v>
      </c>
      <c r="B35" s="35" t="s">
        <v>87</v>
      </c>
      <c r="C35" s="21">
        <f>if('스카우터'!$D$8=true,if('스카우터'!$E$8="1추",G35,F35),if('스카우터'!$E$8="1추",E35,D35))</f>
        <v>1004</v>
      </c>
      <c r="D35" s="21">
        <v>865.0</v>
      </c>
      <c r="E35" s="21">
        <v>913.0</v>
      </c>
      <c r="F35" s="21">
        <v>949.0</v>
      </c>
      <c r="G35" s="21">
        <v>1004.0</v>
      </c>
      <c r="H35" s="23"/>
      <c r="I35" s="1">
        <f t="shared" si="1"/>
        <v>129</v>
      </c>
      <c r="J35" s="1"/>
    </row>
    <row r="36">
      <c r="A36" s="21">
        <v>30.0</v>
      </c>
      <c r="B36" s="23" t="s">
        <v>89</v>
      </c>
      <c r="C36" s="21">
        <f>if('스카우터'!$D$8=true,if('스카우터'!$E$8="1추",G36,F36),if('스카우터'!$E$8="1추",E36,D36))</f>
        <v>1004</v>
      </c>
      <c r="D36" s="21">
        <v>865.0</v>
      </c>
      <c r="E36" s="21">
        <v>913.0</v>
      </c>
      <c r="F36" s="21">
        <v>949.0</v>
      </c>
      <c r="G36" s="21">
        <v>1004.0</v>
      </c>
      <c r="H36" s="23"/>
      <c r="I36" s="1">
        <f t="shared" si="1"/>
        <v>129</v>
      </c>
      <c r="J36" s="1"/>
    </row>
    <row r="37">
      <c r="A37" s="21">
        <v>31.0</v>
      </c>
      <c r="B37" s="23" t="s">
        <v>91</v>
      </c>
      <c r="C37" s="21">
        <f>if('스카우터'!$D$8=true,if('스카우터'!$E$8="1추",G37,F37),if('스카우터'!$E$8="1추",E37,D37))</f>
        <v>707</v>
      </c>
      <c r="D37" s="21">
        <v>624.0</v>
      </c>
      <c r="E37" s="21">
        <v>654.0</v>
      </c>
      <c r="F37" s="21">
        <v>673.0</v>
      </c>
      <c r="G37" s="21">
        <v>707.0</v>
      </c>
      <c r="H37" s="23"/>
      <c r="I37" s="1">
        <f t="shared" si="1"/>
        <v>-168</v>
      </c>
      <c r="J37" s="1"/>
    </row>
    <row r="38">
      <c r="A38" s="21">
        <v>32.0</v>
      </c>
      <c r="B38" s="23" t="s">
        <v>93</v>
      </c>
      <c r="C38" s="21">
        <f>if('스카우터'!$D$8=true,if('스카우터'!$E$8="1추",G38,F38),if('스카우터'!$E$8="1추",E38,D38))</f>
        <v>875</v>
      </c>
      <c r="D38" s="21">
        <v>759.0</v>
      </c>
      <c r="E38" s="21">
        <v>799.0</v>
      </c>
      <c r="F38" s="21">
        <v>828.0</v>
      </c>
      <c r="G38" s="21">
        <v>875.0</v>
      </c>
      <c r="H38" s="23"/>
      <c r="I38" s="1">
        <f t="shared" si="1"/>
        <v>0</v>
      </c>
      <c r="J38" s="1"/>
    </row>
    <row r="39">
      <c r="A39" s="21">
        <v>33.0</v>
      </c>
      <c r="B39" s="23" t="s">
        <v>95</v>
      </c>
      <c r="C39" s="21">
        <f>if('스카우터'!$D$8=true,if('스카우터'!$E$8="1추",G39,F39),if('스카우터'!$E$8="1추",E39,D39))</f>
        <v>1004</v>
      </c>
      <c r="D39" s="21">
        <v>865.0</v>
      </c>
      <c r="E39" s="21">
        <v>913.0</v>
      </c>
      <c r="F39" s="21">
        <v>949.0</v>
      </c>
      <c r="G39" s="21">
        <v>1004.0</v>
      </c>
      <c r="H39" s="23"/>
      <c r="I39" s="1">
        <f t="shared" si="1"/>
        <v>129</v>
      </c>
      <c r="J39" s="1"/>
    </row>
    <row r="40">
      <c r="A40" s="21">
        <v>34.0</v>
      </c>
      <c r="B40" s="23" t="s">
        <v>97</v>
      </c>
      <c r="C40" s="21">
        <f>if('스카우터'!$D$8=true,if('스카우터'!$E$8="1추",G40,F40),if('스카우터'!$E$8="1추",E40,D40))</f>
        <v>832</v>
      </c>
      <c r="D40" s="21">
        <v>725.0</v>
      </c>
      <c r="E40" s="21">
        <v>762.0</v>
      </c>
      <c r="F40" s="21">
        <v>789.0</v>
      </c>
      <c r="G40" s="21">
        <v>832.0</v>
      </c>
      <c r="H40" s="23"/>
      <c r="I40" s="1">
        <f t="shared" si="1"/>
        <v>-43</v>
      </c>
      <c r="J40" s="1"/>
    </row>
    <row r="41">
      <c r="A41" s="21">
        <v>35.0</v>
      </c>
      <c r="B41" s="23" t="s">
        <v>99</v>
      </c>
      <c r="C41" s="21">
        <f>if('스카우터'!$D$8=true,if('스카우터'!$E$8="1추",G41,F41),if('스카우터'!$E$8="1추",E41,D41))</f>
        <v>574</v>
      </c>
      <c r="D41" s="21">
        <v>492.0</v>
      </c>
      <c r="E41" s="21">
        <v>512.0</v>
      </c>
      <c r="F41" s="21">
        <v>551.0</v>
      </c>
      <c r="G41" s="21">
        <v>574.0</v>
      </c>
      <c r="H41" s="23"/>
      <c r="I41" s="1">
        <f t="shared" si="1"/>
        <v>-301</v>
      </c>
      <c r="J41" s="1"/>
    </row>
    <row r="42">
      <c r="A42" s="21">
        <v>36.0</v>
      </c>
      <c r="B42" s="23" t="s">
        <v>100</v>
      </c>
      <c r="C42" s="21">
        <f>if('스카우터'!$D$8=true,if('스카우터'!$E$8="1추",G42,F42),if('스카우터'!$E$8="1추",E42,D42))</f>
        <v>707</v>
      </c>
      <c r="D42" s="21">
        <v>624.0</v>
      </c>
      <c r="E42" s="21">
        <v>654.0</v>
      </c>
      <c r="F42" s="21">
        <v>673.0</v>
      </c>
      <c r="G42" s="21">
        <v>707.0</v>
      </c>
      <c r="H42" s="23"/>
      <c r="I42" s="1">
        <f t="shared" si="1"/>
        <v>-168</v>
      </c>
      <c r="J42" s="1"/>
    </row>
    <row r="43">
      <c r="A43" s="21">
        <v>37.0</v>
      </c>
      <c r="B43" s="23" t="s">
        <v>102</v>
      </c>
      <c r="C43" s="21">
        <f>if('스카우터'!$D$8=true,if('스카우터'!$E$8="1추",G43,F43),if('스카우터'!$E$8="1추",E43,D43))</f>
        <v>848</v>
      </c>
      <c r="D43" s="21">
        <v>736.0</v>
      </c>
      <c r="E43" s="21">
        <v>775.0</v>
      </c>
      <c r="F43" s="21">
        <v>804.0</v>
      </c>
      <c r="G43" s="21">
        <v>848.0</v>
      </c>
      <c r="H43" s="23"/>
      <c r="I43" s="1">
        <f t="shared" si="1"/>
        <v>-27</v>
      </c>
      <c r="J43" s="1"/>
    </row>
    <row r="44">
      <c r="A44" s="21">
        <v>38.0</v>
      </c>
      <c r="B44" s="23" t="s">
        <v>104</v>
      </c>
      <c r="C44" s="21">
        <f>if('스카우터'!$D$8=true,if('스카우터'!$E$8="1추",G44,F44),if('스카우터'!$E$8="1추",E44,D44))</f>
        <v>1004</v>
      </c>
      <c r="D44" s="21">
        <v>865.0</v>
      </c>
      <c r="E44" s="21">
        <v>913.0</v>
      </c>
      <c r="F44" s="21">
        <v>949.0</v>
      </c>
      <c r="G44" s="21">
        <v>1004.0</v>
      </c>
      <c r="H44" s="23"/>
      <c r="I44" s="1">
        <f t="shared" si="1"/>
        <v>129</v>
      </c>
      <c r="J44" s="1"/>
    </row>
    <row r="45">
      <c r="A45" s="21">
        <v>39.0</v>
      </c>
      <c r="B45" s="23" t="s">
        <v>106</v>
      </c>
      <c r="C45" s="21">
        <f>if('스카우터'!$D$8=true,if('스카우터'!$E$8="1추",G45,F45),if('스카우터'!$E$8="1추",E45,D45))</f>
        <v>848</v>
      </c>
      <c r="D45" s="21">
        <v>736.0</v>
      </c>
      <c r="E45" s="21">
        <v>775.0</v>
      </c>
      <c r="F45" s="21">
        <v>804.0</v>
      </c>
      <c r="G45" s="21">
        <v>848.0</v>
      </c>
      <c r="H45" s="23"/>
      <c r="I45" s="1">
        <f t="shared" si="1"/>
        <v>-27</v>
      </c>
      <c r="J45" s="1"/>
    </row>
    <row r="46">
      <c r="A46" s="21">
        <v>40.0</v>
      </c>
      <c r="B46" s="23" t="s">
        <v>108</v>
      </c>
      <c r="C46" s="21">
        <f>if('스카우터'!$D$8=true,if('스카우터'!$E$8="1추",G46,F46),if('스카우터'!$E$8="1추",E46,D46))</f>
        <v>848</v>
      </c>
      <c r="D46" s="21">
        <v>736.0</v>
      </c>
      <c r="E46" s="21">
        <v>775.0</v>
      </c>
      <c r="F46" s="21">
        <v>804.0</v>
      </c>
      <c r="G46" s="21">
        <v>848.0</v>
      </c>
      <c r="H46" s="23"/>
      <c r="I46" s="1">
        <f t="shared" si="1"/>
        <v>-27</v>
      </c>
      <c r="J46" s="1"/>
    </row>
    <row r="47">
      <c r="A47" s="21">
        <v>41.0</v>
      </c>
      <c r="B47" s="23" t="s">
        <v>110</v>
      </c>
      <c r="C47" s="21">
        <f>if('스카우터'!$D$8=true,if('스카우터'!$E$8="1추",G47,F47),if('스카우터'!$E$8="1추",E47,D47))</f>
        <v>992</v>
      </c>
      <c r="D47" s="21">
        <v>853.0</v>
      </c>
      <c r="E47" s="21">
        <v>900.0</v>
      </c>
      <c r="F47" s="21">
        <v>938.0</v>
      </c>
      <c r="G47" s="21">
        <v>992.0</v>
      </c>
      <c r="H47" s="23"/>
      <c r="I47" s="1">
        <f t="shared" si="1"/>
        <v>117</v>
      </c>
      <c r="J47" s="1"/>
    </row>
    <row r="48">
      <c r="A48" s="21">
        <v>42.0</v>
      </c>
      <c r="B48" s="23" t="s">
        <v>112</v>
      </c>
      <c r="C48" s="21">
        <f>if('스카우터'!$D$8=true,if('스카우터'!$E$8="1추",G48,F48),if('스카우터'!$E$8="1추",E48,D48))</f>
        <v>832</v>
      </c>
      <c r="D48" s="21">
        <v>725.0</v>
      </c>
      <c r="E48" s="21">
        <v>762.0</v>
      </c>
      <c r="F48" s="21">
        <v>789.0</v>
      </c>
      <c r="G48" s="21">
        <v>832.0</v>
      </c>
      <c r="H48" s="23"/>
      <c r="I48" s="1">
        <f t="shared" si="1"/>
        <v>-43</v>
      </c>
      <c r="J48" s="1"/>
    </row>
    <row r="49">
      <c r="A49" s="21">
        <v>43.0</v>
      </c>
      <c r="B49" s="23" t="s">
        <v>113</v>
      </c>
      <c r="C49" s="21">
        <f>if('스카우터'!$D$8=true,if('스카우터'!$E$8="1추",G49,F49),if('스카우터'!$E$8="1추",E49,D49))</f>
        <v>992</v>
      </c>
      <c r="D49" s="21">
        <v>853.0</v>
      </c>
      <c r="E49" s="21">
        <v>900.0</v>
      </c>
      <c r="F49" s="21">
        <v>938.0</v>
      </c>
      <c r="G49" s="21">
        <v>992.0</v>
      </c>
      <c r="H49" s="23"/>
      <c r="I49" s="1">
        <f t="shared" si="1"/>
        <v>117</v>
      </c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30.75"/>
  </cols>
  <sheetData>
    <row r="1">
      <c r="A1" s="4"/>
      <c r="B1" s="4"/>
      <c r="C1" s="6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/>
    </row>
    <row r="2">
      <c r="A2" s="4"/>
      <c r="B2" s="4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"/>
    </row>
    <row r="3">
      <c r="A3" s="4"/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"/>
    </row>
    <row r="4">
      <c r="A4" s="4"/>
      <c r="B4" s="4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"/>
    </row>
    <row r="5">
      <c r="A5" s="4"/>
      <c r="B5" s="10" t="s">
        <v>8</v>
      </c>
      <c r="N5" s="4"/>
      <c r="O5" s="4"/>
      <c r="P5" s="1"/>
    </row>
    <row r="6">
      <c r="A6" s="4"/>
      <c r="B6" s="13" t="s">
        <v>12</v>
      </c>
      <c r="C6" s="15" t="s">
        <v>15</v>
      </c>
      <c r="D6" s="13" t="s">
        <v>18</v>
      </c>
      <c r="E6" s="18" t="s">
        <v>20</v>
      </c>
      <c r="F6" s="13" t="s">
        <v>23</v>
      </c>
      <c r="G6" s="13" t="s">
        <v>24</v>
      </c>
      <c r="H6" s="13" t="s">
        <v>26</v>
      </c>
      <c r="I6" s="13" t="s">
        <v>27</v>
      </c>
      <c r="J6" s="13" t="s">
        <v>28</v>
      </c>
      <c r="K6" s="13" t="s">
        <v>29</v>
      </c>
      <c r="L6" s="13" t="s">
        <v>30</v>
      </c>
      <c r="M6" s="13" t="s">
        <v>31</v>
      </c>
      <c r="N6" s="4"/>
      <c r="O6" s="4"/>
      <c r="P6" s="12" t="s">
        <v>32</v>
      </c>
    </row>
    <row r="7">
      <c r="A7" s="13" t="s">
        <v>33</v>
      </c>
      <c r="B7" s="22">
        <v>60.0</v>
      </c>
      <c r="C7" s="24">
        <v>0.0</v>
      </c>
      <c r="D7" s="22">
        <v>0.0</v>
      </c>
      <c r="E7" s="22">
        <f>150+if('스카우터'!D8=true,51,44)</f>
        <v>201</v>
      </c>
      <c r="F7" s="22">
        <v>10.0</v>
      </c>
      <c r="G7" s="22">
        <v>0.0</v>
      </c>
      <c r="H7" s="22">
        <v>10.0</v>
      </c>
      <c r="I7" s="22">
        <v>49.5</v>
      </c>
      <c r="J7" s="22">
        <v>20.0</v>
      </c>
      <c r="K7" s="22">
        <v>10.0</v>
      </c>
      <c r="L7" s="22">
        <v>1.3</v>
      </c>
      <c r="M7" s="22">
        <v>0.9</v>
      </c>
      <c r="N7" s="13"/>
      <c r="O7" s="13" t="s">
        <v>33</v>
      </c>
      <c r="P7" s="12" t="s">
        <v>35</v>
      </c>
    </row>
    <row r="8">
      <c r="A8" s="13" t="s">
        <v>36</v>
      </c>
      <c r="B8" s="22">
        <v>30.0</v>
      </c>
      <c r="C8" s="24">
        <v>0.0</v>
      </c>
      <c r="D8" s="22">
        <v>30.0</v>
      </c>
      <c r="E8" s="22">
        <v>80.0</v>
      </c>
      <c r="F8" s="22">
        <v>0.0</v>
      </c>
      <c r="G8" s="22">
        <v>0.0</v>
      </c>
      <c r="H8" s="22">
        <v>20.0</v>
      </c>
      <c r="I8" s="22">
        <v>202.5</v>
      </c>
      <c r="J8" s="22">
        <v>50.0</v>
      </c>
      <c r="K8" s="22">
        <v>20.0</v>
      </c>
      <c r="L8" s="22">
        <v>1.44</v>
      </c>
      <c r="M8" s="22">
        <v>0.9</v>
      </c>
      <c r="N8" s="13"/>
      <c r="O8" s="13" t="s">
        <v>36</v>
      </c>
      <c r="P8" s="26" t="s">
        <v>37</v>
      </c>
    </row>
    <row r="9">
      <c r="A9" s="13" t="s">
        <v>38</v>
      </c>
      <c r="B9" s="22">
        <v>80.0</v>
      </c>
      <c r="C9" s="24">
        <v>0.0</v>
      </c>
      <c r="D9" s="22">
        <v>30.0</v>
      </c>
      <c r="E9" s="27">
        <v>70.0</v>
      </c>
      <c r="F9" s="22">
        <v>0.0</v>
      </c>
      <c r="G9" s="22">
        <v>0.0</v>
      </c>
      <c r="H9" s="22">
        <v>0.0</v>
      </c>
      <c r="I9" s="22">
        <v>0.0</v>
      </c>
      <c r="J9" s="22">
        <v>20.0</v>
      </c>
      <c r="K9" s="22">
        <v>25.0</v>
      </c>
      <c r="L9" s="22">
        <v>1.3</v>
      </c>
      <c r="M9" s="22">
        <v>0.9</v>
      </c>
      <c r="N9" s="13"/>
      <c r="O9" s="13" t="s">
        <v>38</v>
      </c>
      <c r="P9" s="26" t="s">
        <v>39</v>
      </c>
    </row>
    <row r="10">
      <c r="A10" s="13" t="s">
        <v>40</v>
      </c>
      <c r="B10" s="22">
        <v>30.0</v>
      </c>
      <c r="C10" s="24">
        <v>0.0</v>
      </c>
      <c r="D10" s="22">
        <v>30.0</v>
      </c>
      <c r="E10" s="28">
        <v>90.0</v>
      </c>
      <c r="F10" s="22">
        <v>30.0</v>
      </c>
      <c r="G10" s="22">
        <v>50.0</v>
      </c>
      <c r="H10" s="22">
        <v>20.0</v>
      </c>
      <c r="I10" s="22">
        <v>38.0</v>
      </c>
      <c r="J10" s="22">
        <v>25.0</v>
      </c>
      <c r="K10" s="22">
        <v>30.0</v>
      </c>
      <c r="L10" s="22">
        <v>1.3</v>
      </c>
      <c r="M10" s="22">
        <v>0.85</v>
      </c>
      <c r="N10" s="13"/>
      <c r="O10" s="13" t="s">
        <v>40</v>
      </c>
      <c r="P10" s="26" t="s">
        <v>41</v>
      </c>
    </row>
    <row r="11">
      <c r="A11" s="13" t="s">
        <v>42</v>
      </c>
      <c r="B11" s="22">
        <v>60.0</v>
      </c>
      <c r="C11" s="24">
        <v>0.0</v>
      </c>
      <c r="D11" s="22">
        <v>0.0</v>
      </c>
      <c r="E11" s="29">
        <f>110+if('스카우터'!D8=true,45,33)</f>
        <v>155</v>
      </c>
      <c r="F11" s="22">
        <v>0.0</v>
      </c>
      <c r="G11" s="22">
        <v>0.0</v>
      </c>
      <c r="H11" s="22">
        <v>30.0</v>
      </c>
      <c r="I11" s="22">
        <v>32.0</v>
      </c>
      <c r="J11" s="22">
        <v>30.0</v>
      </c>
      <c r="K11" s="22">
        <v>30.0</v>
      </c>
      <c r="L11" s="22">
        <v>1.7</v>
      </c>
      <c r="M11" s="22">
        <v>0.9</v>
      </c>
      <c r="N11" s="13"/>
      <c r="O11" s="13" t="s">
        <v>42</v>
      </c>
      <c r="P11" s="12" t="s">
        <v>43</v>
      </c>
    </row>
    <row r="12">
      <c r="A12" s="13" t="s">
        <v>44</v>
      </c>
      <c r="B12" s="22">
        <v>50.0</v>
      </c>
      <c r="C12" s="24">
        <v>0.0</v>
      </c>
      <c r="D12" s="22">
        <v>0.0</v>
      </c>
      <c r="E12" s="22">
        <v>115.0</v>
      </c>
      <c r="F12" s="22">
        <v>30.0</v>
      </c>
      <c r="G12" s="22">
        <v>0.0</v>
      </c>
      <c r="H12" s="22">
        <v>0.0</v>
      </c>
      <c r="I12" s="22">
        <v>20.0</v>
      </c>
      <c r="J12" s="22">
        <v>40.0</v>
      </c>
      <c r="K12" s="22">
        <v>15.0</v>
      </c>
      <c r="L12" s="22">
        <v>1.34</v>
      </c>
      <c r="M12" s="22">
        <v>0.9</v>
      </c>
      <c r="N12" s="13"/>
      <c r="O12" s="13" t="s">
        <v>44</v>
      </c>
      <c r="P12" s="12" t="s">
        <v>45</v>
      </c>
    </row>
    <row r="13">
      <c r="A13" s="13" t="s">
        <v>46</v>
      </c>
      <c r="B13" s="22">
        <v>60.0</v>
      </c>
      <c r="C13" s="24">
        <v>0.0</v>
      </c>
      <c r="D13" s="22">
        <v>0.0</v>
      </c>
      <c r="E13" s="29">
        <f>110++if('스카우터'!D10="패시브1렙",2,0)</f>
        <v>110</v>
      </c>
      <c r="F13" s="22">
        <v>10.0</v>
      </c>
      <c r="G13" s="22">
        <v>10.0</v>
      </c>
      <c r="H13" s="22">
        <v>20.0</v>
      </c>
      <c r="I13" s="22">
        <f>if('스카우터'!D10="패시브1렙",52.63,51.25)</f>
        <v>51.25</v>
      </c>
      <c r="J13" s="22">
        <v>27.0</v>
      </c>
      <c r="K13" s="22">
        <f>40+if('스카우터'!D10="패시브1렙",1,0)</f>
        <v>40</v>
      </c>
      <c r="L13" s="22">
        <v>1.3</v>
      </c>
      <c r="M13" s="27">
        <v>0.9</v>
      </c>
      <c r="N13" s="13"/>
      <c r="O13" s="13" t="s">
        <v>46</v>
      </c>
      <c r="P13" s="12" t="s">
        <v>47</v>
      </c>
    </row>
    <row r="14">
      <c r="A14" s="13" t="s">
        <v>48</v>
      </c>
      <c r="B14" s="22">
        <v>50.0</v>
      </c>
      <c r="C14" s="24">
        <v>0.0</v>
      </c>
      <c r="D14" s="29">
        <v>30.0</v>
      </c>
      <c r="E14" s="28">
        <v>70.0</v>
      </c>
      <c r="F14" s="22">
        <v>0.0</v>
      </c>
      <c r="G14" s="22">
        <v>0.0</v>
      </c>
      <c r="H14" s="22">
        <v>10.0</v>
      </c>
      <c r="I14" s="22">
        <v>25.0</v>
      </c>
      <c r="J14" s="22">
        <v>30.0</v>
      </c>
      <c r="K14" s="22">
        <v>30.0</v>
      </c>
      <c r="L14" s="22">
        <v>1.75</v>
      </c>
      <c r="M14" s="22">
        <v>0.9</v>
      </c>
      <c r="N14" s="13"/>
      <c r="O14" s="13" t="s">
        <v>48</v>
      </c>
      <c r="P14" s="26" t="s">
        <v>47</v>
      </c>
    </row>
    <row r="15">
      <c r="A15" s="13" t="s">
        <v>49</v>
      </c>
      <c r="B15" s="22">
        <v>80.0</v>
      </c>
      <c r="C15" s="24">
        <v>0.0</v>
      </c>
      <c r="D15" s="22">
        <v>0.0</v>
      </c>
      <c r="E15" s="28">
        <v>90.0</v>
      </c>
      <c r="F15" s="22">
        <v>0.0</v>
      </c>
      <c r="G15" s="22">
        <v>20.0</v>
      </c>
      <c r="H15" s="22">
        <v>0.0</v>
      </c>
      <c r="I15" s="22">
        <v>10.0</v>
      </c>
      <c r="J15" s="22">
        <v>15.0</v>
      </c>
      <c r="K15" s="22">
        <v>60.0</v>
      </c>
      <c r="L15" s="22">
        <v>1.7</v>
      </c>
      <c r="M15" s="22">
        <v>0.95</v>
      </c>
      <c r="N15" s="13"/>
      <c r="O15" s="13" t="s">
        <v>49</v>
      </c>
      <c r="P15" s="26" t="s">
        <v>50</v>
      </c>
    </row>
    <row r="16">
      <c r="A16" s="13" t="s">
        <v>51</v>
      </c>
      <c r="B16" s="22">
        <v>140.0</v>
      </c>
      <c r="C16" s="24">
        <v>0.0</v>
      </c>
      <c r="D16" s="22">
        <v>40.0</v>
      </c>
      <c r="E16" s="28">
        <v>80.0</v>
      </c>
      <c r="F16" s="22">
        <v>0.0</v>
      </c>
      <c r="G16" s="22">
        <v>30.0</v>
      </c>
      <c r="H16" s="22">
        <v>0.0</v>
      </c>
      <c r="I16" s="22">
        <v>62.5</v>
      </c>
      <c r="J16" s="22">
        <v>30.0</v>
      </c>
      <c r="K16" s="22">
        <v>15.0</v>
      </c>
      <c r="L16" s="22">
        <v>1.3</v>
      </c>
      <c r="M16" s="22">
        <v>0.9</v>
      </c>
      <c r="N16" s="13"/>
      <c r="O16" s="13" t="s">
        <v>51</v>
      </c>
      <c r="P16" s="26" t="s">
        <v>47</v>
      </c>
    </row>
    <row r="17">
      <c r="A17" s="13" t="s">
        <v>52</v>
      </c>
      <c r="B17" s="28">
        <v>30.0</v>
      </c>
      <c r="C17" s="24">
        <v>0.0</v>
      </c>
      <c r="D17" s="28">
        <v>30.0</v>
      </c>
      <c r="E17" s="28">
        <v>90.0</v>
      </c>
      <c r="F17" s="22">
        <v>0.0</v>
      </c>
      <c r="G17" s="22">
        <v>0.0</v>
      </c>
      <c r="H17" s="22">
        <v>0.0</v>
      </c>
      <c r="I17" s="22">
        <v>20.0</v>
      </c>
      <c r="J17" s="22">
        <v>0.0</v>
      </c>
      <c r="K17" s="22">
        <v>13.0</v>
      </c>
      <c r="L17" s="22">
        <v>1.3</v>
      </c>
      <c r="M17" s="22">
        <v>0.9</v>
      </c>
      <c r="N17" s="13"/>
      <c r="O17" s="13" t="s">
        <v>52</v>
      </c>
      <c r="P17" s="30" t="s">
        <v>53</v>
      </c>
    </row>
    <row r="18">
      <c r="A18" s="13" t="s">
        <v>54</v>
      </c>
      <c r="B18" s="28">
        <v>30.0</v>
      </c>
      <c r="C18" s="24">
        <v>0.0</v>
      </c>
      <c r="D18" s="22">
        <v>30.0</v>
      </c>
      <c r="E18" s="22">
        <v>30.0</v>
      </c>
      <c r="F18" s="22">
        <v>0.0</v>
      </c>
      <c r="G18" s="29">
        <v>0.0</v>
      </c>
      <c r="H18" s="22">
        <v>0.0</v>
      </c>
      <c r="I18" s="22">
        <v>71.82</v>
      </c>
      <c r="J18" s="22">
        <v>31.0</v>
      </c>
      <c r="K18" s="22">
        <v>20.0</v>
      </c>
      <c r="L18" s="22">
        <v>1.34</v>
      </c>
      <c r="M18" s="22">
        <v>0.9</v>
      </c>
      <c r="N18" s="13"/>
      <c r="O18" s="13" t="s">
        <v>54</v>
      </c>
      <c r="P18" s="31" t="s">
        <v>55</v>
      </c>
    </row>
    <row r="19">
      <c r="A19" s="13" t="s">
        <v>56</v>
      </c>
      <c r="B19" s="22">
        <v>50.0</v>
      </c>
      <c r="C19" s="24">
        <v>0.0</v>
      </c>
      <c r="D19" s="22">
        <v>0.0</v>
      </c>
      <c r="E19" s="28">
        <v>100.0</v>
      </c>
      <c r="F19" s="22">
        <v>0.0</v>
      </c>
      <c r="G19" s="22">
        <v>0.0</v>
      </c>
      <c r="H19" s="28">
        <v>90.0</v>
      </c>
      <c r="I19" s="22">
        <v>31.25</v>
      </c>
      <c r="J19" s="22">
        <v>28.0</v>
      </c>
      <c r="K19" s="22">
        <v>0.0</v>
      </c>
      <c r="L19" s="22">
        <v>1.49</v>
      </c>
      <c r="M19" s="22">
        <v>0.9</v>
      </c>
      <c r="N19" s="13"/>
      <c r="O19" s="13" t="s">
        <v>56</v>
      </c>
      <c r="P19" s="30" t="s">
        <v>57</v>
      </c>
    </row>
    <row r="20">
      <c r="A20" s="13" t="s">
        <v>58</v>
      </c>
      <c r="B20" s="22">
        <v>30.0</v>
      </c>
      <c r="C20" s="24">
        <v>0.0</v>
      </c>
      <c r="D20" s="22">
        <v>30.0</v>
      </c>
      <c r="E20" s="28">
        <f>75+if('스카우터'!D10="패시브1렙",1,0)</f>
        <v>75</v>
      </c>
      <c r="F20" s="22">
        <v>0.0</v>
      </c>
      <c r="G20" s="22">
        <v>10.0</v>
      </c>
      <c r="H20" s="22">
        <v>0.0</v>
      </c>
      <c r="I20" s="22">
        <v>20.0</v>
      </c>
      <c r="J20" s="22">
        <v>30.0</v>
      </c>
      <c r="K20" s="22">
        <v>5.0</v>
      </c>
      <c r="L20" s="22">
        <v>1.5</v>
      </c>
      <c r="M20" s="28">
        <v>0.85</v>
      </c>
      <c r="N20" s="13"/>
      <c r="O20" s="13" t="s">
        <v>58</v>
      </c>
      <c r="P20" s="12" t="s">
        <v>59</v>
      </c>
    </row>
    <row r="21">
      <c r="A21" s="13" t="s">
        <v>60</v>
      </c>
      <c r="B21" s="28">
        <v>40.0</v>
      </c>
      <c r="C21" s="24">
        <v>0.0</v>
      </c>
      <c r="D21" s="28">
        <v>0.0</v>
      </c>
      <c r="E21" s="28">
        <v>70.0</v>
      </c>
      <c r="F21" s="22">
        <v>0.0</v>
      </c>
      <c r="G21" s="22">
        <v>50.0</v>
      </c>
      <c r="H21" s="22">
        <v>0.0</v>
      </c>
      <c r="I21" s="22">
        <v>40.0</v>
      </c>
      <c r="J21" s="22">
        <v>20.0</v>
      </c>
      <c r="K21" s="22">
        <v>13.0</v>
      </c>
      <c r="L21" s="22">
        <v>1.2</v>
      </c>
      <c r="M21" s="22">
        <v>0.95</v>
      </c>
      <c r="N21" s="13"/>
      <c r="O21" s="13" t="s">
        <v>60</v>
      </c>
      <c r="P21" s="26" t="s">
        <v>61</v>
      </c>
    </row>
    <row r="22">
      <c r="A22" s="13" t="s">
        <v>62</v>
      </c>
      <c r="B22" s="22">
        <v>60.0</v>
      </c>
      <c r="C22" s="24">
        <v>0.0</v>
      </c>
      <c r="D22" s="22">
        <v>30.0</v>
      </c>
      <c r="E22" s="28">
        <v>160.0</v>
      </c>
      <c r="F22" s="22">
        <v>0.0</v>
      </c>
      <c r="G22" s="28">
        <v>0.0</v>
      </c>
      <c r="H22" s="22">
        <v>0.0</v>
      </c>
      <c r="I22" s="22">
        <v>25.0</v>
      </c>
      <c r="J22" s="22">
        <v>20.0</v>
      </c>
      <c r="K22" s="28">
        <v>45.0</v>
      </c>
      <c r="L22" s="22">
        <v>1.3</v>
      </c>
      <c r="M22" s="22">
        <v>0.9</v>
      </c>
      <c r="N22" s="13"/>
      <c r="O22" s="13" t="s">
        <v>62</v>
      </c>
      <c r="P22" s="32" t="s">
        <v>63</v>
      </c>
    </row>
    <row r="23">
      <c r="A23" s="13" t="s">
        <v>64</v>
      </c>
      <c r="B23" s="28">
        <v>50.0</v>
      </c>
      <c r="C23" s="24">
        <v>0.0</v>
      </c>
      <c r="D23" s="28">
        <v>10.0</v>
      </c>
      <c r="E23" s="28">
        <v>185.0</v>
      </c>
      <c r="F23" s="22">
        <v>35.0</v>
      </c>
      <c r="G23" s="22">
        <v>20.0</v>
      </c>
      <c r="H23" s="22">
        <v>20.0</v>
      </c>
      <c r="I23" s="22">
        <v>49.5</v>
      </c>
      <c r="J23" s="22">
        <v>20.0</v>
      </c>
      <c r="K23" s="22">
        <v>40.0</v>
      </c>
      <c r="L23" s="22">
        <v>1.2</v>
      </c>
      <c r="M23" s="22">
        <v>0.95</v>
      </c>
      <c r="N23" s="13"/>
      <c r="O23" s="13" t="s">
        <v>64</v>
      </c>
      <c r="P23" s="26" t="s">
        <v>65</v>
      </c>
    </row>
    <row r="24">
      <c r="A24" s="13" t="s">
        <v>66</v>
      </c>
      <c r="B24" s="22">
        <v>110.0</v>
      </c>
      <c r="C24" s="24">
        <v>0.0</v>
      </c>
      <c r="D24" s="22">
        <v>30.0</v>
      </c>
      <c r="E24" s="28">
        <v>80.0</v>
      </c>
      <c r="F24" s="22">
        <v>20.0</v>
      </c>
      <c r="G24" s="22">
        <v>10.0</v>
      </c>
      <c r="H24" s="22">
        <v>0.0</v>
      </c>
      <c r="I24" s="22">
        <v>0.0</v>
      </c>
      <c r="J24" s="22">
        <v>30.0</v>
      </c>
      <c r="K24" s="22">
        <v>18.0</v>
      </c>
      <c r="L24" s="22">
        <v>1.3</v>
      </c>
      <c r="M24" s="22">
        <v>0.85</v>
      </c>
      <c r="N24" s="13"/>
      <c r="O24" s="13" t="s">
        <v>66</v>
      </c>
      <c r="P24" s="26" t="s">
        <v>67</v>
      </c>
    </row>
    <row r="25">
      <c r="A25" s="13" t="s">
        <v>68</v>
      </c>
      <c r="B25" s="29">
        <v>60.0</v>
      </c>
      <c r="C25" s="24">
        <v>0.0</v>
      </c>
      <c r="D25" s="29">
        <v>0.0</v>
      </c>
      <c r="E25" s="27">
        <v>20.0</v>
      </c>
      <c r="F25" s="29">
        <v>0.0</v>
      </c>
      <c r="G25" s="29">
        <v>20.0</v>
      </c>
      <c r="H25" s="29">
        <v>30.0</v>
      </c>
      <c r="I25" s="29">
        <v>26.5</v>
      </c>
      <c r="J25" s="29">
        <v>30.0</v>
      </c>
      <c r="K25" s="29">
        <v>20.0</v>
      </c>
      <c r="L25" s="29">
        <v>1.7</v>
      </c>
      <c r="M25" s="29">
        <v>0.9</v>
      </c>
      <c r="N25" s="13"/>
      <c r="O25" s="13" t="s">
        <v>68</v>
      </c>
      <c r="P25" s="26" t="s">
        <v>69</v>
      </c>
    </row>
    <row r="26">
      <c r="A26" s="13" t="s">
        <v>70</v>
      </c>
      <c r="B26" s="22">
        <v>30.0</v>
      </c>
      <c r="C26" s="24">
        <v>0.0</v>
      </c>
      <c r="D26" s="22">
        <v>30.0</v>
      </c>
      <c r="E26" s="28">
        <v>180.0</v>
      </c>
      <c r="F26" s="22">
        <v>5.0</v>
      </c>
      <c r="G26" s="22">
        <v>20.0</v>
      </c>
      <c r="H26" s="22">
        <v>0.0</v>
      </c>
      <c r="I26" s="22">
        <v>0.0</v>
      </c>
      <c r="J26" s="22">
        <v>40.0</v>
      </c>
      <c r="K26" s="22">
        <v>18.0</v>
      </c>
      <c r="L26" s="22">
        <v>1.49</v>
      </c>
      <c r="M26" s="22">
        <v>0.9</v>
      </c>
      <c r="N26" s="13"/>
      <c r="O26" s="13" t="s">
        <v>70</v>
      </c>
      <c r="P26" s="32" t="s">
        <v>71</v>
      </c>
    </row>
    <row r="27">
      <c r="A27" s="13" t="s">
        <v>72</v>
      </c>
      <c r="B27" s="22">
        <v>60.0</v>
      </c>
      <c r="C27" s="24">
        <v>0.0</v>
      </c>
      <c r="D27" s="22">
        <v>0.0</v>
      </c>
      <c r="E27" s="28">
        <v>80.0</v>
      </c>
      <c r="F27" s="22">
        <v>0.0</v>
      </c>
      <c r="G27" s="22">
        <v>15.0</v>
      </c>
      <c r="H27" s="22">
        <v>0.0</v>
      </c>
      <c r="I27" s="28">
        <v>82.0</v>
      </c>
      <c r="J27" s="22">
        <v>49.0</v>
      </c>
      <c r="K27" s="22">
        <v>15.0</v>
      </c>
      <c r="L27" s="22">
        <v>1.2</v>
      </c>
      <c r="M27" s="22">
        <v>0.95</v>
      </c>
      <c r="N27" s="13"/>
      <c r="O27" s="13" t="s">
        <v>72</v>
      </c>
      <c r="P27" s="26" t="s">
        <v>73</v>
      </c>
    </row>
    <row r="28">
      <c r="A28" s="13" t="s">
        <v>74</v>
      </c>
      <c r="B28" s="22">
        <v>30.0</v>
      </c>
      <c r="C28" s="24">
        <v>0.0</v>
      </c>
      <c r="D28" s="22">
        <v>30.0</v>
      </c>
      <c r="E28" s="28">
        <v>100.0</v>
      </c>
      <c r="F28" s="22">
        <v>0.0</v>
      </c>
      <c r="G28" s="22">
        <v>5.0</v>
      </c>
      <c r="H28" s="22">
        <v>0.0</v>
      </c>
      <c r="I28" s="22">
        <v>134.0</v>
      </c>
      <c r="J28" s="22">
        <v>37.0</v>
      </c>
      <c r="K28" s="22">
        <v>38.0</v>
      </c>
      <c r="L28" s="22">
        <v>1.49</v>
      </c>
      <c r="M28" s="22">
        <v>0.9</v>
      </c>
      <c r="N28" s="13"/>
      <c r="O28" s="13" t="s">
        <v>74</v>
      </c>
      <c r="P28" s="12" t="s">
        <v>75</v>
      </c>
    </row>
    <row r="29">
      <c r="A29" s="13" t="s">
        <v>76</v>
      </c>
      <c r="B29" s="22">
        <v>70.0</v>
      </c>
      <c r="C29" s="24">
        <v>0.0</v>
      </c>
      <c r="D29" s="22">
        <v>30.0</v>
      </c>
      <c r="E29" s="28">
        <v>60.0</v>
      </c>
      <c r="F29" s="22">
        <v>0.0</v>
      </c>
      <c r="G29" s="22">
        <v>15.0</v>
      </c>
      <c r="H29" s="22">
        <v>0.0</v>
      </c>
      <c r="I29" s="22">
        <v>38.0</v>
      </c>
      <c r="J29" s="22">
        <v>25.0</v>
      </c>
      <c r="K29" s="22">
        <v>43.0</v>
      </c>
      <c r="L29" s="22">
        <v>1.35</v>
      </c>
      <c r="M29" s="22">
        <v>0.85</v>
      </c>
      <c r="N29" s="13"/>
      <c r="O29" s="13" t="s">
        <v>76</v>
      </c>
      <c r="P29" s="26" t="s">
        <v>77</v>
      </c>
    </row>
    <row r="30">
      <c r="A30" s="13" t="s">
        <v>78</v>
      </c>
      <c r="B30" s="22">
        <v>90.0</v>
      </c>
      <c r="C30" s="24">
        <v>0.0</v>
      </c>
      <c r="D30" s="22">
        <v>90.0</v>
      </c>
      <c r="E30" s="28">
        <v>60.0</v>
      </c>
      <c r="F30" s="22">
        <v>0.0</v>
      </c>
      <c r="G30" s="22">
        <v>0.0</v>
      </c>
      <c r="H30" s="22">
        <v>40.0</v>
      </c>
      <c r="I30" s="22">
        <v>43.0</v>
      </c>
      <c r="J30" s="22">
        <v>20.0</v>
      </c>
      <c r="K30" s="22">
        <v>5.0</v>
      </c>
      <c r="L30" s="22">
        <v>1.5</v>
      </c>
      <c r="M30" s="22">
        <v>0.85</v>
      </c>
      <c r="N30" s="13"/>
      <c r="O30" s="13" t="s">
        <v>78</v>
      </c>
      <c r="P30" s="26" t="s">
        <v>79</v>
      </c>
    </row>
    <row r="31">
      <c r="A31" s="13" t="s">
        <v>80</v>
      </c>
      <c r="B31" s="22">
        <v>30.0</v>
      </c>
      <c r="C31" s="24">
        <v>0.0</v>
      </c>
      <c r="D31" s="22">
        <v>30.0</v>
      </c>
      <c r="E31" s="28">
        <v>90.0</v>
      </c>
      <c r="F31" s="22">
        <v>20.0</v>
      </c>
      <c r="G31" s="22">
        <v>0.0</v>
      </c>
      <c r="H31" s="22">
        <v>0.0</v>
      </c>
      <c r="I31" s="22">
        <v>20.0</v>
      </c>
      <c r="J31" s="22">
        <v>20.0</v>
      </c>
      <c r="K31" s="22">
        <v>55.0</v>
      </c>
      <c r="L31" s="22">
        <v>1.5</v>
      </c>
      <c r="M31" s="22">
        <v>0.85</v>
      </c>
      <c r="N31" s="13"/>
      <c r="O31" s="13" t="s">
        <v>80</v>
      </c>
      <c r="P31" s="26" t="s">
        <v>81</v>
      </c>
    </row>
    <row r="32">
      <c r="A32" s="13" t="s">
        <v>82</v>
      </c>
      <c r="B32" s="22">
        <v>120.0</v>
      </c>
      <c r="C32" s="24">
        <v>0.0</v>
      </c>
      <c r="D32" s="22">
        <v>30.0</v>
      </c>
      <c r="E32" s="28">
        <v>150.0</v>
      </c>
      <c r="F32" s="22">
        <v>25.0</v>
      </c>
      <c r="G32" s="22">
        <v>0.0</v>
      </c>
      <c r="H32" s="22">
        <v>0.0</v>
      </c>
      <c r="I32" s="22">
        <v>30.0</v>
      </c>
      <c r="J32" s="22">
        <v>25.0</v>
      </c>
      <c r="K32" s="22">
        <v>16.0</v>
      </c>
      <c r="L32" s="22">
        <v>1.3</v>
      </c>
      <c r="M32" s="22">
        <v>0.85</v>
      </c>
      <c r="N32" s="13"/>
      <c r="O32" s="13" t="s">
        <v>82</v>
      </c>
      <c r="P32" s="26" t="s">
        <v>83</v>
      </c>
    </row>
    <row r="33">
      <c r="A33" s="13" t="s">
        <v>84</v>
      </c>
      <c r="B33" s="22">
        <v>30.0</v>
      </c>
      <c r="C33" s="24">
        <v>0.0</v>
      </c>
      <c r="D33" s="22">
        <v>30.0</v>
      </c>
      <c r="E33" s="28">
        <v>60.0</v>
      </c>
      <c r="F33" s="22">
        <v>15.0</v>
      </c>
      <c r="G33" s="22">
        <v>20.0</v>
      </c>
      <c r="H33" s="22">
        <v>20.0</v>
      </c>
      <c r="I33" s="22">
        <v>0.0</v>
      </c>
      <c r="J33" s="22">
        <v>35.0</v>
      </c>
      <c r="K33" s="22">
        <v>20.0</v>
      </c>
      <c r="L33" s="22">
        <v>1.7</v>
      </c>
      <c r="M33" s="22">
        <v>0.9</v>
      </c>
      <c r="N33" s="13"/>
      <c r="O33" s="13" t="s">
        <v>84</v>
      </c>
      <c r="P33" s="26" t="s">
        <v>39</v>
      </c>
    </row>
    <row r="34">
      <c r="A34" s="13" t="s">
        <v>85</v>
      </c>
      <c r="B34" s="22">
        <v>40.0</v>
      </c>
      <c r="C34" s="24">
        <v>0.0</v>
      </c>
      <c r="D34" s="22">
        <v>0.0</v>
      </c>
      <c r="E34" s="28">
        <v>100.0</v>
      </c>
      <c r="F34" s="22">
        <v>10.0</v>
      </c>
      <c r="G34" s="22">
        <v>40.0</v>
      </c>
      <c r="H34" s="22">
        <v>30.0</v>
      </c>
      <c r="I34" s="22">
        <v>30.0</v>
      </c>
      <c r="J34" s="22">
        <v>25.0</v>
      </c>
      <c r="K34" s="22">
        <v>30.0</v>
      </c>
      <c r="L34" s="22">
        <v>1.2</v>
      </c>
      <c r="M34" s="22">
        <v>0.9</v>
      </c>
      <c r="N34" s="13"/>
      <c r="O34" s="13" t="s">
        <v>85</v>
      </c>
      <c r="P34" s="26" t="s">
        <v>86</v>
      </c>
    </row>
    <row r="35">
      <c r="A35" s="33" t="s">
        <v>87</v>
      </c>
      <c r="B35" s="28">
        <v>40.0</v>
      </c>
      <c r="C35" s="24">
        <v>0.0</v>
      </c>
      <c r="D35" s="28">
        <v>0.0</v>
      </c>
      <c r="E35" s="28">
        <v>70.0</v>
      </c>
      <c r="F35" s="22">
        <v>0.0</v>
      </c>
      <c r="G35" s="22">
        <v>50.0</v>
      </c>
      <c r="H35" s="22">
        <v>0.0</v>
      </c>
      <c r="I35" s="22">
        <v>50.0</v>
      </c>
      <c r="J35" s="22">
        <v>20.0</v>
      </c>
      <c r="K35" s="22">
        <v>13.0</v>
      </c>
      <c r="L35" s="22">
        <v>1.2</v>
      </c>
      <c r="M35" s="22">
        <v>0.95</v>
      </c>
      <c r="N35" s="13"/>
      <c r="O35" s="33" t="s">
        <v>87</v>
      </c>
      <c r="P35" s="32" t="s">
        <v>88</v>
      </c>
    </row>
    <row r="36">
      <c r="A36" s="13" t="s">
        <v>89</v>
      </c>
      <c r="B36" s="27">
        <v>40.0</v>
      </c>
      <c r="C36" s="24">
        <v>0.0</v>
      </c>
      <c r="D36" s="28">
        <v>0.0</v>
      </c>
      <c r="E36" s="28">
        <v>120.0</v>
      </c>
      <c r="F36" s="22">
        <v>0.0</v>
      </c>
      <c r="G36" s="22">
        <v>0.0</v>
      </c>
      <c r="H36" s="22">
        <v>0.0</v>
      </c>
      <c r="I36" s="22">
        <v>33.9</v>
      </c>
      <c r="J36" s="22">
        <v>20.0</v>
      </c>
      <c r="K36" s="22">
        <v>13.0</v>
      </c>
      <c r="L36" s="22">
        <v>1.2</v>
      </c>
      <c r="M36" s="22">
        <v>0.95</v>
      </c>
      <c r="N36" s="13"/>
      <c r="O36" s="13" t="s">
        <v>89</v>
      </c>
      <c r="P36" s="32" t="s">
        <v>90</v>
      </c>
    </row>
    <row r="37">
      <c r="A37" s="13" t="s">
        <v>91</v>
      </c>
      <c r="B37" s="22">
        <v>30.0</v>
      </c>
      <c r="C37" s="24">
        <v>0.0</v>
      </c>
      <c r="D37" s="22">
        <v>30.0</v>
      </c>
      <c r="E37" s="28">
        <v>90.0</v>
      </c>
      <c r="F37" s="22">
        <v>30.0</v>
      </c>
      <c r="G37" s="22">
        <v>0.0</v>
      </c>
      <c r="H37" s="22">
        <v>20.0</v>
      </c>
      <c r="I37" s="22">
        <v>0.0</v>
      </c>
      <c r="J37" s="22">
        <v>0.0</v>
      </c>
      <c r="K37" s="22">
        <v>15.0</v>
      </c>
      <c r="L37" s="22">
        <v>1.7</v>
      </c>
      <c r="M37" s="22">
        <v>0.9</v>
      </c>
      <c r="N37" s="13"/>
      <c r="O37" s="13" t="s">
        <v>91</v>
      </c>
      <c r="P37" s="26" t="s">
        <v>92</v>
      </c>
    </row>
    <row r="38">
      <c r="A38" s="13" t="s">
        <v>93</v>
      </c>
      <c r="B38" s="22">
        <f>110+'스카우터'!C8*0.5</f>
        <v>247.5</v>
      </c>
      <c r="C38" s="24">
        <v>0.0</v>
      </c>
      <c r="D38" s="22">
        <v>50.0</v>
      </c>
      <c r="E38" s="22">
        <f>215</f>
        <v>215</v>
      </c>
      <c r="F38" s="22">
        <v>10.0</v>
      </c>
      <c r="G38" s="22">
        <v>0.0</v>
      </c>
      <c r="H38" s="22">
        <v>15.0</v>
      </c>
      <c r="I38" s="22">
        <v>25.0</v>
      </c>
      <c r="J38" s="22">
        <v>37.0</v>
      </c>
      <c r="K38" s="22">
        <v>15.0</v>
      </c>
      <c r="L38" s="22">
        <v>1.34</v>
      </c>
      <c r="M38" s="22">
        <v>0.9</v>
      </c>
      <c r="N38" s="13"/>
      <c r="O38" s="13" t="s">
        <v>93</v>
      </c>
      <c r="P38" s="26" t="s">
        <v>94</v>
      </c>
    </row>
    <row r="39">
      <c r="A39" s="13" t="s">
        <v>95</v>
      </c>
      <c r="B39" s="22">
        <f>60+0.5*'스카우터'!C8</f>
        <v>197.5</v>
      </c>
      <c r="C39" s="24">
        <v>0.0</v>
      </c>
      <c r="D39" s="28">
        <v>0.0</v>
      </c>
      <c r="E39" s="28">
        <v>95.0</v>
      </c>
      <c r="F39" s="22">
        <v>10.0</v>
      </c>
      <c r="G39" s="22">
        <v>0.0</v>
      </c>
      <c r="H39" s="22">
        <v>0.0</v>
      </c>
      <c r="I39" s="22">
        <v>95.0</v>
      </c>
      <c r="J39" s="22">
        <v>30.0</v>
      </c>
      <c r="K39" s="22">
        <v>20.0</v>
      </c>
      <c r="L39" s="22">
        <v>1.2</v>
      </c>
      <c r="M39" s="22">
        <v>0.95</v>
      </c>
      <c r="N39" s="13"/>
      <c r="O39" s="13" t="s">
        <v>95</v>
      </c>
      <c r="P39" s="26" t="s">
        <v>96</v>
      </c>
    </row>
    <row r="40">
      <c r="A40" s="13" t="s">
        <v>97</v>
      </c>
      <c r="B40" s="22">
        <f>50+'스카우터'!C8*0.5</f>
        <v>187.5</v>
      </c>
      <c r="C40" s="24">
        <v>0.15</v>
      </c>
      <c r="D40" s="22">
        <v>30.0</v>
      </c>
      <c r="E40" s="28">
        <v>125.0</v>
      </c>
      <c r="F40" s="22">
        <v>20.0</v>
      </c>
      <c r="G40" s="22">
        <v>35.0</v>
      </c>
      <c r="H40" s="22">
        <v>40.0</v>
      </c>
      <c r="I40" s="22">
        <v>25.0</v>
      </c>
      <c r="J40" s="22">
        <v>15.0</v>
      </c>
      <c r="K40" s="22">
        <v>28.0</v>
      </c>
      <c r="L40" s="22">
        <v>1.3</v>
      </c>
      <c r="M40" s="22">
        <v>0.85</v>
      </c>
      <c r="N40" s="13"/>
      <c r="O40" s="13" t="s">
        <v>97</v>
      </c>
      <c r="P40" s="26" t="s">
        <v>98</v>
      </c>
    </row>
    <row r="41">
      <c r="A41" s="13" t="s">
        <v>99</v>
      </c>
      <c r="B41" s="22">
        <f>60+'스카우터'!C8*0.5</f>
        <v>197.5</v>
      </c>
      <c r="C41" s="24">
        <v>0.0</v>
      </c>
      <c r="D41" s="22">
        <v>0.0</v>
      </c>
      <c r="E41" s="28">
        <v>65.0</v>
      </c>
      <c r="F41" s="22">
        <v>10.0</v>
      </c>
      <c r="G41" s="22">
        <v>30.0</v>
      </c>
      <c r="H41" s="22">
        <v>0.0</v>
      </c>
      <c r="I41" s="22">
        <v>15.0</v>
      </c>
      <c r="J41" s="22">
        <v>15.0</v>
      </c>
      <c r="K41" s="22">
        <v>30.0</v>
      </c>
      <c r="L41" s="22">
        <v>1.75</v>
      </c>
      <c r="M41" s="22">
        <v>0.85</v>
      </c>
      <c r="N41" s="13"/>
      <c r="O41" s="13" t="s">
        <v>99</v>
      </c>
      <c r="P41" s="26" t="s">
        <v>47</v>
      </c>
    </row>
    <row r="42">
      <c r="A42" s="13" t="s">
        <v>100</v>
      </c>
      <c r="B42" s="22">
        <f>60+'스카우터'!C8*0.5</f>
        <v>197.5</v>
      </c>
      <c r="C42" s="24">
        <v>0.0</v>
      </c>
      <c r="D42" s="22">
        <v>0.0</v>
      </c>
      <c r="E42" s="28">
        <v>55.0</v>
      </c>
      <c r="F42" s="22">
        <v>10.0</v>
      </c>
      <c r="G42" s="22">
        <v>5.0</v>
      </c>
      <c r="H42" s="22">
        <v>0.0</v>
      </c>
      <c r="I42" s="22">
        <v>20.0</v>
      </c>
      <c r="J42" s="22">
        <v>9.0</v>
      </c>
      <c r="K42" s="22">
        <v>45.0</v>
      </c>
      <c r="L42" s="22">
        <v>1.7</v>
      </c>
      <c r="M42" s="22">
        <v>0.9</v>
      </c>
      <c r="N42" s="13"/>
      <c r="O42" s="13" t="s">
        <v>100</v>
      </c>
      <c r="P42" s="26" t="s">
        <v>101</v>
      </c>
    </row>
    <row r="43">
      <c r="A43" s="13" t="s">
        <v>102</v>
      </c>
      <c r="B43" s="22">
        <v>90.0</v>
      </c>
      <c r="C43" s="24">
        <v>0.0</v>
      </c>
      <c r="D43" s="22">
        <v>30.0</v>
      </c>
      <c r="E43" s="28">
        <v>110.0</v>
      </c>
      <c r="F43" s="22">
        <v>10.0</v>
      </c>
      <c r="G43" s="22">
        <v>60.0</v>
      </c>
      <c r="H43" s="22">
        <v>0.0</v>
      </c>
      <c r="I43" s="22">
        <v>64.45</v>
      </c>
      <c r="J43" s="22">
        <v>40.0</v>
      </c>
      <c r="K43" s="22">
        <v>20.0</v>
      </c>
      <c r="L43" s="22">
        <v>1.2</v>
      </c>
      <c r="M43" s="22">
        <v>0.9</v>
      </c>
      <c r="N43" s="13"/>
      <c r="O43" s="13" t="s">
        <v>102</v>
      </c>
      <c r="P43" s="26" t="s">
        <v>103</v>
      </c>
    </row>
    <row r="44">
      <c r="A44" s="13" t="s">
        <v>104</v>
      </c>
      <c r="B44" s="28">
        <v>40.0</v>
      </c>
      <c r="C44" s="24">
        <v>0.0</v>
      </c>
      <c r="D44" s="28">
        <v>0.0</v>
      </c>
      <c r="E44" s="28">
        <v>80.0</v>
      </c>
      <c r="F44" s="22">
        <v>40.0</v>
      </c>
      <c r="G44" s="22">
        <v>70.0</v>
      </c>
      <c r="H44" s="22">
        <v>0.0</v>
      </c>
      <c r="I44" s="22">
        <v>15.0</v>
      </c>
      <c r="J44" s="22">
        <v>30.0</v>
      </c>
      <c r="K44" s="22">
        <v>50.0</v>
      </c>
      <c r="L44" s="22">
        <v>1.2</v>
      </c>
      <c r="M44" s="22">
        <v>0.95</v>
      </c>
      <c r="N44" s="13"/>
      <c r="O44" s="13" t="s">
        <v>104</v>
      </c>
      <c r="P44" s="26" t="s">
        <v>105</v>
      </c>
    </row>
    <row r="45">
      <c r="A45" s="13" t="s">
        <v>106</v>
      </c>
      <c r="B45" s="22">
        <v>130.0</v>
      </c>
      <c r="C45" s="24">
        <v>0.0</v>
      </c>
      <c r="D45" s="22">
        <v>70.0</v>
      </c>
      <c r="E45" s="28">
        <v>100.0</v>
      </c>
      <c r="F45" s="22">
        <v>35.0</v>
      </c>
      <c r="G45" s="22">
        <v>10.0</v>
      </c>
      <c r="H45" s="22">
        <v>10.0</v>
      </c>
      <c r="I45" s="22">
        <v>20.0</v>
      </c>
      <c r="J45" s="22">
        <v>30.0</v>
      </c>
      <c r="K45" s="22">
        <v>48.0</v>
      </c>
      <c r="L45" s="22">
        <v>1.35</v>
      </c>
      <c r="M45" s="22">
        <v>0.85</v>
      </c>
      <c r="N45" s="13"/>
      <c r="O45" s="13" t="s">
        <v>106</v>
      </c>
      <c r="P45" s="26" t="s">
        <v>107</v>
      </c>
    </row>
    <row r="46">
      <c r="A46" s="13" t="s">
        <v>108</v>
      </c>
      <c r="B46" s="22">
        <v>30.0</v>
      </c>
      <c r="C46" s="24">
        <v>0.0</v>
      </c>
      <c r="D46" s="22">
        <v>30.0</v>
      </c>
      <c r="E46" s="28">
        <v>100.0</v>
      </c>
      <c r="F46" s="22">
        <v>0.0</v>
      </c>
      <c r="G46" s="22">
        <v>35.0</v>
      </c>
      <c r="H46" s="22">
        <v>0.0</v>
      </c>
      <c r="I46" s="22">
        <v>25.0</v>
      </c>
      <c r="J46" s="22">
        <v>30.0</v>
      </c>
      <c r="K46" s="22">
        <v>15.0</v>
      </c>
      <c r="L46" s="22">
        <v>1.2</v>
      </c>
      <c r="M46" s="22">
        <v>0.9</v>
      </c>
      <c r="N46" s="13"/>
      <c r="O46" s="13" t="s">
        <v>108</v>
      </c>
      <c r="P46" s="26" t="s">
        <v>109</v>
      </c>
    </row>
    <row r="47">
      <c r="A47" s="13" t="s">
        <v>110</v>
      </c>
      <c r="B47" s="22">
        <v>40.0</v>
      </c>
      <c r="C47" s="24">
        <v>0.0</v>
      </c>
      <c r="D47" s="22">
        <v>0.0</v>
      </c>
      <c r="E47" s="22">
        <f>115+if('스카우터'!D8=true,71,52)</f>
        <v>186</v>
      </c>
      <c r="F47" s="22">
        <v>10.0</v>
      </c>
      <c r="G47" s="22">
        <v>20.0</v>
      </c>
      <c r="H47" s="22">
        <v>30.0</v>
      </c>
      <c r="I47" s="22">
        <v>35.0</v>
      </c>
      <c r="J47" s="22">
        <v>25.0</v>
      </c>
      <c r="K47" s="22">
        <v>30.0</v>
      </c>
      <c r="L47" s="22">
        <v>1.2</v>
      </c>
      <c r="M47" s="22">
        <v>0.9</v>
      </c>
      <c r="N47" s="13"/>
      <c r="O47" s="13" t="s">
        <v>110</v>
      </c>
      <c r="P47" s="26" t="s">
        <v>111</v>
      </c>
    </row>
    <row r="48">
      <c r="A48" s="13" t="s">
        <v>112</v>
      </c>
      <c r="B48" s="22">
        <v>60.0</v>
      </c>
      <c r="C48" s="24">
        <v>0.0</v>
      </c>
      <c r="D48" s="22">
        <v>0.0</v>
      </c>
      <c r="E48" s="28">
        <v>110.0</v>
      </c>
      <c r="F48" s="22">
        <v>0.0</v>
      </c>
      <c r="G48" s="22">
        <v>10.0</v>
      </c>
      <c r="H48" s="22">
        <v>10.0</v>
      </c>
      <c r="I48" s="22">
        <v>87.0</v>
      </c>
      <c r="J48" s="22">
        <v>37.0</v>
      </c>
      <c r="K48" s="22">
        <v>40.0</v>
      </c>
      <c r="L48" s="22">
        <v>1.3</v>
      </c>
      <c r="M48" s="22">
        <v>0.85</v>
      </c>
      <c r="N48" s="13"/>
      <c r="O48" s="13" t="s">
        <v>112</v>
      </c>
      <c r="P48" s="26" t="s">
        <v>47</v>
      </c>
    </row>
    <row r="49">
      <c r="A49" s="13" t="s">
        <v>113</v>
      </c>
      <c r="B49" s="22">
        <v>40.0</v>
      </c>
      <c r="C49" s="24">
        <v>0.0</v>
      </c>
      <c r="D49" s="22">
        <v>0.0</v>
      </c>
      <c r="E49" s="28">
        <v>135.0</v>
      </c>
      <c r="F49" s="22">
        <v>0.0</v>
      </c>
      <c r="G49" s="22">
        <v>25.0</v>
      </c>
      <c r="H49" s="22">
        <v>10.0</v>
      </c>
      <c r="I49" s="22">
        <v>97.92</v>
      </c>
      <c r="J49" s="22">
        <v>40.0</v>
      </c>
      <c r="K49" s="22">
        <v>20.0</v>
      </c>
      <c r="L49" s="22">
        <v>1.2</v>
      </c>
      <c r="M49" s="22">
        <v>0.95</v>
      </c>
      <c r="N49" s="13"/>
      <c r="O49" s="13" t="s">
        <v>113</v>
      </c>
      <c r="P49" s="26" t="s">
        <v>88</v>
      </c>
    </row>
    <row r="50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1"/>
    </row>
    <row r="5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1"/>
    </row>
    <row r="5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1"/>
    </row>
    <row r="53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1"/>
    </row>
    <row r="54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1"/>
    </row>
    <row r="55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1"/>
    </row>
    <row r="56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"/>
    </row>
    <row r="57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1"/>
    </row>
    <row r="58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1"/>
    </row>
    <row r="59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1"/>
    </row>
    <row r="60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1"/>
    </row>
    <row r="6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"/>
    </row>
    <row r="6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"/>
    </row>
    <row r="63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"/>
    </row>
    <row r="64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"/>
    </row>
    <row r="65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"/>
    </row>
    <row r="66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1"/>
    </row>
    <row r="67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"/>
    </row>
    <row r="68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"/>
    </row>
    <row r="69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1"/>
    </row>
    <row r="70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1"/>
    </row>
    <row r="7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1"/>
    </row>
    <row r="7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"/>
    </row>
    <row r="73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"/>
    </row>
    <row r="74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"/>
    </row>
    <row r="75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1"/>
    </row>
    <row r="76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1"/>
    </row>
    <row r="77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1"/>
    </row>
    <row r="78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"/>
    </row>
    <row r="79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"/>
    </row>
    <row r="80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"/>
    </row>
    <row r="8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"/>
    </row>
    <row r="8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"/>
    </row>
    <row r="83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"/>
    </row>
    <row r="84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"/>
    </row>
    <row r="85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"/>
    </row>
    <row r="86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"/>
    </row>
    <row r="87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"/>
    </row>
    <row r="88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"/>
    </row>
    <row r="89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"/>
    </row>
    <row r="90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"/>
    </row>
    <row r="9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"/>
    </row>
    <row r="9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"/>
    </row>
    <row r="93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"/>
    </row>
    <row r="94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1"/>
    </row>
    <row r="95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1"/>
    </row>
    <row r="96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1"/>
    </row>
    <row r="97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1"/>
    </row>
    <row r="98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1"/>
    </row>
    <row r="99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1"/>
    </row>
    <row r="100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"/>
    </row>
    <row r="10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"/>
    </row>
    <row r="102">
      <c r="A102" s="4"/>
      <c r="B102" s="4"/>
      <c r="C102" s="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"/>
    </row>
    <row r="103">
      <c r="A103" s="4"/>
      <c r="B103" s="4"/>
      <c r="C103" s="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"/>
    </row>
    <row r="104">
      <c r="A104" s="4"/>
      <c r="B104" s="4"/>
      <c r="C104" s="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"/>
    </row>
    <row r="105">
      <c r="A105" s="4"/>
      <c r="B105" s="4"/>
      <c r="C105" s="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"/>
    </row>
    <row r="106">
      <c r="A106" s="4"/>
      <c r="B106" s="4"/>
      <c r="C106" s="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"/>
    </row>
    <row r="107">
      <c r="A107" s="4"/>
      <c r="B107" s="4"/>
      <c r="C107" s="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"/>
    </row>
    <row r="108">
      <c r="A108" s="4"/>
      <c r="B108" s="4"/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1"/>
    </row>
    <row r="109">
      <c r="A109" s="4"/>
      <c r="B109" s="4"/>
      <c r="C109" s="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"/>
    </row>
    <row r="110">
      <c r="A110" s="4"/>
      <c r="B110" s="4"/>
      <c r="C110" s="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"/>
    </row>
    <row r="111">
      <c r="A111" s="4"/>
      <c r="B111" s="4"/>
      <c r="C111" s="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"/>
    </row>
    <row r="112">
      <c r="A112" s="4"/>
      <c r="B112" s="4"/>
      <c r="C112" s="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"/>
    </row>
    <row r="113">
      <c r="A113" s="4"/>
      <c r="B113" s="4"/>
      <c r="C113" s="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"/>
    </row>
    <row r="114">
      <c r="A114" s="4"/>
      <c r="B114" s="4"/>
      <c r="C114" s="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"/>
    </row>
    <row r="115">
      <c r="A115" s="4"/>
      <c r="B115" s="4"/>
      <c r="C115" s="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"/>
    </row>
    <row r="116">
      <c r="A116" s="4"/>
      <c r="B116" s="4"/>
      <c r="C116" s="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"/>
    </row>
    <row r="117">
      <c r="A117" s="4"/>
      <c r="B117" s="4"/>
      <c r="C117" s="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"/>
    </row>
    <row r="118">
      <c r="A118" s="4"/>
      <c r="B118" s="4"/>
      <c r="C118" s="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"/>
    </row>
    <row r="119">
      <c r="A119" s="4"/>
      <c r="B119" s="4"/>
      <c r="C119" s="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1"/>
    </row>
    <row r="120">
      <c r="A120" s="4"/>
      <c r="B120" s="4"/>
      <c r="C120" s="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"/>
    </row>
    <row r="121">
      <c r="A121" s="4"/>
      <c r="B121" s="4"/>
      <c r="C121" s="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"/>
    </row>
    <row r="122">
      <c r="A122" s="4"/>
      <c r="B122" s="4"/>
      <c r="C122" s="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1"/>
    </row>
    <row r="123">
      <c r="A123" s="4"/>
      <c r="B123" s="4"/>
      <c r="C123" s="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"/>
    </row>
    <row r="124">
      <c r="A124" s="4"/>
      <c r="B124" s="4"/>
      <c r="C124" s="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"/>
    </row>
    <row r="125">
      <c r="A125" s="4"/>
      <c r="B125" s="4"/>
      <c r="C125" s="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"/>
    </row>
    <row r="126">
      <c r="A126" s="4"/>
      <c r="B126" s="4"/>
      <c r="C126" s="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"/>
    </row>
    <row r="127">
      <c r="A127" s="4"/>
      <c r="B127" s="4"/>
      <c r="C127" s="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"/>
    </row>
    <row r="128">
      <c r="A128" s="4"/>
      <c r="B128" s="4"/>
      <c r="C128" s="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"/>
    </row>
    <row r="129">
      <c r="A129" s="4"/>
      <c r="B129" s="4"/>
      <c r="C129" s="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"/>
    </row>
    <row r="130">
      <c r="A130" s="4"/>
      <c r="B130" s="4"/>
      <c r="C130" s="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"/>
    </row>
    <row r="131">
      <c r="A131" s="4"/>
      <c r="B131" s="4"/>
      <c r="C131" s="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"/>
    </row>
    <row r="132">
      <c r="A132" s="4"/>
      <c r="B132" s="4"/>
      <c r="C132" s="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"/>
    </row>
    <row r="133">
      <c r="A133" s="4"/>
      <c r="B133" s="4"/>
      <c r="C133" s="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"/>
    </row>
    <row r="134">
      <c r="A134" s="4"/>
      <c r="B134" s="4"/>
      <c r="C134" s="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"/>
    </row>
    <row r="135">
      <c r="A135" s="4"/>
      <c r="B135" s="4"/>
      <c r="C135" s="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"/>
    </row>
    <row r="136">
      <c r="A136" s="4"/>
      <c r="B136" s="4"/>
      <c r="C136" s="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"/>
    </row>
    <row r="137">
      <c r="A137" s="4"/>
      <c r="B137" s="4"/>
      <c r="C137" s="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"/>
    </row>
    <row r="138">
      <c r="A138" s="4"/>
      <c r="B138" s="4"/>
      <c r="C138" s="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1"/>
    </row>
    <row r="139">
      <c r="A139" s="4"/>
      <c r="B139" s="4"/>
      <c r="C139" s="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1"/>
    </row>
    <row r="140">
      <c r="A140" s="4"/>
      <c r="B140" s="4"/>
      <c r="C140" s="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1"/>
    </row>
    <row r="141">
      <c r="A141" s="4"/>
      <c r="B141" s="4"/>
      <c r="C141" s="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1"/>
    </row>
    <row r="142">
      <c r="A142" s="4"/>
      <c r="B142" s="4"/>
      <c r="C142" s="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1"/>
    </row>
    <row r="143">
      <c r="A143" s="4"/>
      <c r="B143" s="4"/>
      <c r="C143" s="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1"/>
    </row>
    <row r="144">
      <c r="A144" s="4"/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1"/>
    </row>
    <row r="145">
      <c r="A145" s="4"/>
      <c r="B145" s="4"/>
      <c r="C145" s="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1"/>
    </row>
    <row r="146">
      <c r="A146" s="4"/>
      <c r="B146" s="4"/>
      <c r="C146" s="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1"/>
    </row>
    <row r="147">
      <c r="A147" s="4"/>
      <c r="B147" s="4"/>
      <c r="C147" s="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1"/>
    </row>
    <row r="148">
      <c r="A148" s="4"/>
      <c r="B148" s="4"/>
      <c r="C148" s="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1"/>
    </row>
    <row r="149">
      <c r="A149" s="4"/>
      <c r="B149" s="4"/>
      <c r="C149" s="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1"/>
    </row>
    <row r="150">
      <c r="A150" s="4"/>
      <c r="B150" s="4"/>
      <c r="C150" s="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1"/>
    </row>
    <row r="151">
      <c r="A151" s="4"/>
      <c r="B151" s="4"/>
      <c r="C151" s="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1"/>
    </row>
    <row r="152">
      <c r="A152" s="4"/>
      <c r="B152" s="4"/>
      <c r="C152" s="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1"/>
    </row>
    <row r="153">
      <c r="A153" s="4"/>
      <c r="B153" s="4"/>
      <c r="C153" s="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"/>
    </row>
    <row r="154">
      <c r="A154" s="4"/>
      <c r="B154" s="4"/>
      <c r="C154" s="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"/>
    </row>
    <row r="155">
      <c r="A155" s="4"/>
      <c r="B155" s="4"/>
      <c r="C155" s="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"/>
    </row>
    <row r="156">
      <c r="A156" s="4"/>
      <c r="B156" s="4"/>
      <c r="C156" s="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"/>
    </row>
    <row r="157">
      <c r="A157" s="4"/>
      <c r="B157" s="4"/>
      <c r="C157" s="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"/>
    </row>
    <row r="158">
      <c r="A158" s="4"/>
      <c r="B158" s="4"/>
      <c r="C158" s="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"/>
    </row>
    <row r="159">
      <c r="A159" s="4"/>
      <c r="B159" s="4"/>
      <c r="C159" s="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"/>
    </row>
    <row r="160">
      <c r="A160" s="4"/>
      <c r="B160" s="4"/>
      <c r="C160" s="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"/>
    </row>
    <row r="161">
      <c r="A161" s="4"/>
      <c r="B161" s="4"/>
      <c r="C161" s="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"/>
    </row>
    <row r="162">
      <c r="A162" s="4"/>
      <c r="B162" s="4"/>
      <c r="C162" s="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"/>
    </row>
    <row r="163">
      <c r="A163" s="4"/>
      <c r="B163" s="4"/>
      <c r="C163" s="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"/>
    </row>
    <row r="164">
      <c r="A164" s="4"/>
      <c r="B164" s="4"/>
      <c r="C164" s="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"/>
    </row>
    <row r="165">
      <c r="A165" s="4"/>
      <c r="B165" s="4"/>
      <c r="C165" s="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"/>
    </row>
    <row r="166">
      <c r="A166" s="4"/>
      <c r="B166" s="4"/>
      <c r="C166" s="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"/>
    </row>
    <row r="167">
      <c r="A167" s="4"/>
      <c r="B167" s="4"/>
      <c r="C167" s="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"/>
    </row>
    <row r="168">
      <c r="A168" s="4"/>
      <c r="B168" s="4"/>
      <c r="C168" s="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"/>
    </row>
    <row r="169">
      <c r="A169" s="4"/>
      <c r="B169" s="4"/>
      <c r="C169" s="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"/>
    </row>
    <row r="170">
      <c r="A170" s="4"/>
      <c r="B170" s="4"/>
      <c r="C170" s="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"/>
    </row>
    <row r="171">
      <c r="A171" s="4"/>
      <c r="B171" s="4"/>
      <c r="C171" s="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"/>
    </row>
    <row r="172">
      <c r="A172" s="4"/>
      <c r="B172" s="4"/>
      <c r="C172" s="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"/>
    </row>
    <row r="173">
      <c r="A173" s="4"/>
      <c r="B173" s="4"/>
      <c r="C173" s="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"/>
    </row>
    <row r="174">
      <c r="A174" s="4"/>
      <c r="B174" s="4"/>
      <c r="C174" s="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"/>
    </row>
    <row r="175">
      <c r="A175" s="4"/>
      <c r="B175" s="4"/>
      <c r="C175" s="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"/>
    </row>
    <row r="176">
      <c r="A176" s="4"/>
      <c r="B176" s="4"/>
      <c r="C176" s="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"/>
    </row>
    <row r="177">
      <c r="A177" s="4"/>
      <c r="B177" s="4"/>
      <c r="C177" s="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"/>
    </row>
    <row r="178">
      <c r="A178" s="4"/>
      <c r="B178" s="4"/>
      <c r="C178" s="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"/>
    </row>
    <row r="179">
      <c r="A179" s="4"/>
      <c r="B179" s="4"/>
      <c r="C179" s="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"/>
    </row>
    <row r="180">
      <c r="A180" s="4"/>
      <c r="B180" s="4"/>
      <c r="C180" s="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"/>
    </row>
    <row r="181">
      <c r="A181" s="4"/>
      <c r="B181" s="4"/>
      <c r="C181" s="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"/>
    </row>
    <row r="182">
      <c r="A182" s="4"/>
      <c r="B182" s="4"/>
      <c r="C182" s="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"/>
    </row>
    <row r="183">
      <c r="A183" s="4"/>
      <c r="B183" s="4"/>
      <c r="C183" s="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"/>
    </row>
    <row r="184">
      <c r="A184" s="4"/>
      <c r="B184" s="4"/>
      <c r="C184" s="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"/>
    </row>
    <row r="185">
      <c r="A185" s="4"/>
      <c r="B185" s="4"/>
      <c r="C185" s="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"/>
    </row>
    <row r="186">
      <c r="A186" s="4"/>
      <c r="B186" s="4"/>
      <c r="C186" s="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"/>
    </row>
    <row r="187">
      <c r="A187" s="4"/>
      <c r="B187" s="4"/>
      <c r="C187" s="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"/>
    </row>
    <row r="188">
      <c r="A188" s="4"/>
      <c r="B188" s="4"/>
      <c r="C188" s="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"/>
    </row>
    <row r="189">
      <c r="A189" s="4"/>
      <c r="B189" s="4"/>
      <c r="C189" s="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"/>
    </row>
    <row r="190">
      <c r="A190" s="4"/>
      <c r="B190" s="4"/>
      <c r="C190" s="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"/>
    </row>
    <row r="191">
      <c r="A191" s="4"/>
      <c r="B191" s="4"/>
      <c r="C191" s="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"/>
    </row>
    <row r="192">
      <c r="A192" s="4"/>
      <c r="B192" s="4"/>
      <c r="C192" s="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"/>
    </row>
    <row r="193">
      <c r="A193" s="4"/>
      <c r="B193" s="4"/>
      <c r="C193" s="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1"/>
    </row>
    <row r="194">
      <c r="A194" s="4"/>
      <c r="B194" s="4"/>
      <c r="C194" s="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1"/>
    </row>
    <row r="195">
      <c r="A195" s="4"/>
      <c r="B195" s="4"/>
      <c r="C195" s="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1"/>
    </row>
    <row r="196">
      <c r="A196" s="4"/>
      <c r="B196" s="4"/>
      <c r="C196" s="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1"/>
    </row>
    <row r="197">
      <c r="A197" s="4"/>
      <c r="B197" s="4"/>
      <c r="C197" s="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1"/>
    </row>
    <row r="198">
      <c r="A198" s="4"/>
      <c r="B198" s="4"/>
      <c r="C198" s="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1"/>
    </row>
    <row r="199">
      <c r="A199" s="4"/>
      <c r="B199" s="4"/>
      <c r="C199" s="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1"/>
    </row>
    <row r="200">
      <c r="A200" s="4"/>
      <c r="B200" s="4"/>
      <c r="C200" s="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1"/>
    </row>
    <row r="201">
      <c r="A201" s="4"/>
      <c r="B201" s="4"/>
      <c r="C201" s="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1"/>
    </row>
    <row r="202">
      <c r="A202" s="4"/>
      <c r="B202" s="4"/>
      <c r="C202" s="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1"/>
    </row>
    <row r="203">
      <c r="A203" s="4"/>
      <c r="B203" s="4"/>
      <c r="C203" s="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1"/>
    </row>
    <row r="204">
      <c r="A204" s="4"/>
      <c r="B204" s="4"/>
      <c r="C204" s="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1"/>
    </row>
    <row r="205">
      <c r="A205" s="4"/>
      <c r="B205" s="4"/>
      <c r="C205" s="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1"/>
    </row>
    <row r="206">
      <c r="A206" s="4"/>
      <c r="B206" s="4"/>
      <c r="C206" s="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1"/>
    </row>
    <row r="207">
      <c r="A207" s="4"/>
      <c r="B207" s="4"/>
      <c r="C207" s="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1"/>
    </row>
    <row r="208">
      <c r="A208" s="4"/>
      <c r="B208" s="4"/>
      <c r="C208" s="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1"/>
    </row>
    <row r="209">
      <c r="A209" s="4"/>
      <c r="B209" s="4"/>
      <c r="C209" s="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1"/>
    </row>
    <row r="210">
      <c r="A210" s="4"/>
      <c r="B210" s="4"/>
      <c r="C210" s="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1"/>
    </row>
    <row r="211">
      <c r="A211" s="4"/>
      <c r="B211" s="4"/>
      <c r="C211" s="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1"/>
    </row>
    <row r="212">
      <c r="A212" s="4"/>
      <c r="B212" s="4"/>
      <c r="C212" s="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1"/>
    </row>
    <row r="213">
      <c r="A213" s="4"/>
      <c r="B213" s="4"/>
      <c r="C213" s="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1"/>
    </row>
    <row r="214">
      <c r="A214" s="4"/>
      <c r="B214" s="4"/>
      <c r="C214" s="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1"/>
    </row>
    <row r="215">
      <c r="A215" s="4"/>
      <c r="B215" s="4"/>
      <c r="C215" s="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1"/>
    </row>
    <row r="216">
      <c r="A216" s="4"/>
      <c r="B216" s="4"/>
      <c r="C216" s="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1"/>
    </row>
    <row r="217">
      <c r="A217" s="4"/>
      <c r="B217" s="4"/>
      <c r="C217" s="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1"/>
    </row>
    <row r="218">
      <c r="A218" s="4"/>
      <c r="B218" s="4"/>
      <c r="C218" s="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1"/>
    </row>
    <row r="219">
      <c r="A219" s="4"/>
      <c r="B219" s="4"/>
      <c r="C219" s="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1"/>
    </row>
    <row r="220">
      <c r="A220" s="4"/>
      <c r="B220" s="4"/>
      <c r="C220" s="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1"/>
    </row>
    <row r="221">
      <c r="A221" s="4"/>
      <c r="B221" s="4"/>
      <c r="C221" s="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1"/>
    </row>
    <row r="222">
      <c r="A222" s="4"/>
      <c r="B222" s="4"/>
      <c r="C222" s="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1"/>
    </row>
    <row r="223">
      <c r="A223" s="4"/>
      <c r="B223" s="4"/>
      <c r="C223" s="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1"/>
    </row>
    <row r="224">
      <c r="A224" s="4"/>
      <c r="B224" s="4"/>
      <c r="C224" s="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1"/>
    </row>
    <row r="225">
      <c r="A225" s="4"/>
      <c r="B225" s="4"/>
      <c r="C225" s="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1"/>
    </row>
    <row r="226">
      <c r="A226" s="4"/>
      <c r="B226" s="4"/>
      <c r="C226" s="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1"/>
    </row>
    <row r="227">
      <c r="A227" s="4"/>
      <c r="B227" s="4"/>
      <c r="C227" s="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1"/>
    </row>
    <row r="228">
      <c r="A228" s="4"/>
      <c r="B228" s="4"/>
      <c r="C228" s="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1"/>
    </row>
    <row r="229">
      <c r="A229" s="4"/>
      <c r="B229" s="4"/>
      <c r="C229" s="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1"/>
    </row>
    <row r="230">
      <c r="A230" s="4"/>
      <c r="B230" s="4"/>
      <c r="C230" s="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1"/>
    </row>
    <row r="231">
      <c r="A231" s="4"/>
      <c r="B231" s="4"/>
      <c r="C231" s="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1"/>
    </row>
    <row r="232">
      <c r="A232" s="4"/>
      <c r="B232" s="4"/>
      <c r="C232" s="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1"/>
    </row>
    <row r="233">
      <c r="A233" s="4"/>
      <c r="B233" s="4"/>
      <c r="C233" s="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1"/>
    </row>
    <row r="234">
      <c r="A234" s="4"/>
      <c r="B234" s="4"/>
      <c r="C234" s="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1"/>
    </row>
    <row r="235">
      <c r="A235" s="4"/>
      <c r="B235" s="4"/>
      <c r="C235" s="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1"/>
    </row>
    <row r="236">
      <c r="A236" s="4"/>
      <c r="B236" s="4"/>
      <c r="C236" s="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1"/>
    </row>
    <row r="237">
      <c r="A237" s="4"/>
      <c r="B237" s="4"/>
      <c r="C237" s="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1"/>
    </row>
    <row r="238">
      <c r="A238" s="4"/>
      <c r="B238" s="4"/>
      <c r="C238" s="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1"/>
    </row>
    <row r="239">
      <c r="A239" s="4"/>
      <c r="B239" s="4"/>
      <c r="C239" s="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1"/>
    </row>
    <row r="240">
      <c r="A240" s="4"/>
      <c r="B240" s="4"/>
      <c r="C240" s="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1"/>
    </row>
    <row r="241">
      <c r="A241" s="4"/>
      <c r="B241" s="4"/>
      <c r="C241" s="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1"/>
    </row>
    <row r="242">
      <c r="A242" s="4"/>
      <c r="B242" s="4"/>
      <c r="C242" s="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1"/>
    </row>
    <row r="243">
      <c r="A243" s="4"/>
      <c r="B243" s="4"/>
      <c r="C243" s="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1"/>
    </row>
    <row r="244">
      <c r="A244" s="4"/>
      <c r="B244" s="4"/>
      <c r="C244" s="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1"/>
    </row>
    <row r="245">
      <c r="A245" s="4"/>
      <c r="B245" s="4"/>
      <c r="C245" s="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1"/>
    </row>
    <row r="246">
      <c r="A246" s="4"/>
      <c r="B246" s="4"/>
      <c r="C246" s="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1"/>
    </row>
    <row r="247">
      <c r="A247" s="4"/>
      <c r="B247" s="4"/>
      <c r="C247" s="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1"/>
    </row>
    <row r="248">
      <c r="A248" s="4"/>
      <c r="B248" s="4"/>
      <c r="C248" s="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1"/>
    </row>
    <row r="249">
      <c r="A249" s="4"/>
      <c r="B249" s="4"/>
      <c r="C249" s="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1"/>
    </row>
    <row r="250">
      <c r="A250" s="4"/>
      <c r="B250" s="4"/>
      <c r="C250" s="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1"/>
    </row>
    <row r="251">
      <c r="A251" s="4"/>
      <c r="B251" s="4"/>
      <c r="C251" s="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1"/>
    </row>
    <row r="252">
      <c r="A252" s="4"/>
      <c r="B252" s="4"/>
      <c r="C252" s="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1"/>
    </row>
    <row r="253">
      <c r="A253" s="4"/>
      <c r="B253" s="4"/>
      <c r="C253" s="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1"/>
    </row>
    <row r="254">
      <c r="A254" s="4"/>
      <c r="B254" s="4"/>
      <c r="C254" s="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1"/>
    </row>
    <row r="255">
      <c r="A255" s="4"/>
      <c r="B255" s="4"/>
      <c r="C255" s="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1"/>
    </row>
    <row r="256">
      <c r="A256" s="4"/>
      <c r="B256" s="4"/>
      <c r="C256" s="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1"/>
    </row>
    <row r="257">
      <c r="A257" s="4"/>
      <c r="B257" s="4"/>
      <c r="C257" s="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1"/>
    </row>
    <row r="258">
      <c r="A258" s="4"/>
      <c r="B258" s="4"/>
      <c r="C258" s="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1"/>
    </row>
    <row r="259">
      <c r="A259" s="4"/>
      <c r="B259" s="4"/>
      <c r="C259" s="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1"/>
    </row>
    <row r="260">
      <c r="A260" s="4"/>
      <c r="B260" s="4"/>
      <c r="C260" s="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1"/>
    </row>
    <row r="261">
      <c r="A261" s="4"/>
      <c r="B261" s="4"/>
      <c r="C261" s="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1"/>
    </row>
    <row r="262">
      <c r="A262" s="4"/>
      <c r="B262" s="4"/>
      <c r="C262" s="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1"/>
    </row>
    <row r="263">
      <c r="A263" s="4"/>
      <c r="B263" s="4"/>
      <c r="C263" s="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1"/>
    </row>
    <row r="264">
      <c r="A264" s="4"/>
      <c r="B264" s="4"/>
      <c r="C264" s="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1"/>
    </row>
    <row r="265">
      <c r="A265" s="4"/>
      <c r="B265" s="4"/>
      <c r="C265" s="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1"/>
    </row>
    <row r="266">
      <c r="A266" s="4"/>
      <c r="B266" s="4"/>
      <c r="C266" s="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1"/>
    </row>
    <row r="267">
      <c r="A267" s="4"/>
      <c r="B267" s="4"/>
      <c r="C267" s="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1"/>
    </row>
    <row r="268">
      <c r="A268" s="4"/>
      <c r="B268" s="4"/>
      <c r="C268" s="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1"/>
    </row>
    <row r="269">
      <c r="A269" s="4"/>
      <c r="B269" s="4"/>
      <c r="C269" s="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1"/>
    </row>
    <row r="270">
      <c r="A270" s="4"/>
      <c r="B270" s="4"/>
      <c r="C270" s="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1"/>
    </row>
    <row r="271">
      <c r="A271" s="4"/>
      <c r="B271" s="4"/>
      <c r="C271" s="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1"/>
    </row>
    <row r="272">
      <c r="A272" s="4"/>
      <c r="B272" s="4"/>
      <c r="C272" s="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1"/>
    </row>
    <row r="273">
      <c r="A273" s="4"/>
      <c r="B273" s="4"/>
      <c r="C273" s="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1"/>
    </row>
    <row r="274">
      <c r="A274" s="4"/>
      <c r="B274" s="4"/>
      <c r="C274" s="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1"/>
    </row>
    <row r="275">
      <c r="A275" s="4"/>
      <c r="B275" s="4"/>
      <c r="C275" s="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1"/>
    </row>
    <row r="276">
      <c r="A276" s="4"/>
      <c r="B276" s="4"/>
      <c r="C276" s="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1"/>
    </row>
    <row r="277">
      <c r="A277" s="4"/>
      <c r="B277" s="4"/>
      <c r="C277" s="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1"/>
    </row>
    <row r="278">
      <c r="A278" s="4"/>
      <c r="B278" s="4"/>
      <c r="C278" s="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1"/>
    </row>
    <row r="279">
      <c r="A279" s="4"/>
      <c r="B279" s="4"/>
      <c r="C279" s="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1"/>
    </row>
    <row r="280">
      <c r="A280" s="4"/>
      <c r="B280" s="4"/>
      <c r="C280" s="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1"/>
    </row>
    <row r="281">
      <c r="A281" s="4"/>
      <c r="B281" s="4"/>
      <c r="C281" s="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1"/>
    </row>
    <row r="282">
      <c r="A282" s="4"/>
      <c r="B282" s="4"/>
      <c r="C282" s="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1"/>
    </row>
    <row r="283">
      <c r="A283" s="4"/>
      <c r="B283" s="4"/>
      <c r="C283" s="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1"/>
    </row>
    <row r="284">
      <c r="A284" s="4"/>
      <c r="B284" s="4"/>
      <c r="C284" s="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1"/>
    </row>
    <row r="285">
      <c r="A285" s="4"/>
      <c r="B285" s="4"/>
      <c r="C285" s="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1"/>
    </row>
    <row r="286">
      <c r="A286" s="4"/>
      <c r="B286" s="4"/>
      <c r="C286" s="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1"/>
    </row>
    <row r="287">
      <c r="A287" s="4"/>
      <c r="B287" s="4"/>
      <c r="C287" s="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1"/>
    </row>
    <row r="288">
      <c r="A288" s="4"/>
      <c r="B288" s="4"/>
      <c r="C288" s="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1"/>
    </row>
    <row r="289">
      <c r="A289" s="4"/>
      <c r="B289" s="4"/>
      <c r="C289" s="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1"/>
    </row>
    <row r="290">
      <c r="A290" s="4"/>
      <c r="B290" s="4"/>
      <c r="C290" s="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1"/>
    </row>
    <row r="291">
      <c r="A291" s="4"/>
      <c r="B291" s="4"/>
      <c r="C291" s="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1"/>
    </row>
    <row r="292">
      <c r="A292" s="4"/>
      <c r="B292" s="4"/>
      <c r="C292" s="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1"/>
    </row>
    <row r="293">
      <c r="A293" s="4"/>
      <c r="B293" s="4"/>
      <c r="C293" s="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1"/>
    </row>
    <row r="294">
      <c r="A294" s="4"/>
      <c r="B294" s="4"/>
      <c r="C294" s="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1"/>
    </row>
    <row r="295">
      <c r="A295" s="4"/>
      <c r="B295" s="4"/>
      <c r="C295" s="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1"/>
    </row>
    <row r="296">
      <c r="A296" s="4"/>
      <c r="B296" s="4"/>
      <c r="C296" s="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1"/>
    </row>
    <row r="297">
      <c r="A297" s="4"/>
      <c r="B297" s="4"/>
      <c r="C297" s="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1"/>
    </row>
    <row r="298">
      <c r="A298" s="4"/>
      <c r="B298" s="4"/>
      <c r="C298" s="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1"/>
    </row>
    <row r="299">
      <c r="A299" s="4"/>
      <c r="B299" s="4"/>
      <c r="C299" s="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1"/>
    </row>
    <row r="300">
      <c r="A300" s="4"/>
      <c r="B300" s="4"/>
      <c r="C300" s="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1"/>
    </row>
    <row r="301">
      <c r="A301" s="4"/>
      <c r="B301" s="4"/>
      <c r="C301" s="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1"/>
    </row>
    <row r="302">
      <c r="A302" s="4"/>
      <c r="B302" s="4"/>
      <c r="C302" s="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1"/>
    </row>
    <row r="303">
      <c r="A303" s="4"/>
      <c r="B303" s="4"/>
      <c r="C303" s="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1"/>
    </row>
    <row r="304">
      <c r="A304" s="4"/>
      <c r="B304" s="4"/>
      <c r="C304" s="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1"/>
    </row>
    <row r="305">
      <c r="A305" s="4"/>
      <c r="B305" s="4"/>
      <c r="C305" s="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1"/>
    </row>
    <row r="306">
      <c r="A306" s="4"/>
      <c r="B306" s="4"/>
      <c r="C306" s="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1"/>
    </row>
    <row r="307">
      <c r="A307" s="4"/>
      <c r="B307" s="4"/>
      <c r="C307" s="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1"/>
    </row>
    <row r="308">
      <c r="A308" s="4"/>
      <c r="B308" s="4"/>
      <c r="C308" s="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1"/>
    </row>
    <row r="309">
      <c r="A309" s="4"/>
      <c r="B309" s="4"/>
      <c r="C309" s="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1"/>
    </row>
    <row r="310">
      <c r="A310" s="4"/>
      <c r="B310" s="4"/>
      <c r="C310" s="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1"/>
    </row>
    <row r="311">
      <c r="A311" s="4"/>
      <c r="B311" s="4"/>
      <c r="C311" s="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1"/>
    </row>
    <row r="312">
      <c r="A312" s="4"/>
      <c r="B312" s="4"/>
      <c r="C312" s="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1"/>
    </row>
    <row r="313">
      <c r="A313" s="4"/>
      <c r="B313" s="4"/>
      <c r="C313" s="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1"/>
    </row>
    <row r="314">
      <c r="A314" s="4"/>
      <c r="B314" s="4"/>
      <c r="C314" s="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1"/>
    </row>
    <row r="315">
      <c r="A315" s="4"/>
      <c r="B315" s="4"/>
      <c r="C315" s="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1"/>
    </row>
    <row r="316">
      <c r="A316" s="4"/>
      <c r="B316" s="4"/>
      <c r="C316" s="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1"/>
    </row>
    <row r="317">
      <c r="A317" s="4"/>
      <c r="B317" s="4"/>
      <c r="C317" s="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1"/>
    </row>
    <row r="318">
      <c r="A318" s="4"/>
      <c r="B318" s="4"/>
      <c r="C318" s="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1"/>
    </row>
    <row r="319">
      <c r="A319" s="4"/>
      <c r="B319" s="4"/>
      <c r="C319" s="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1"/>
    </row>
    <row r="320">
      <c r="A320" s="4"/>
      <c r="B320" s="4"/>
      <c r="C320" s="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1"/>
    </row>
    <row r="321">
      <c r="A321" s="4"/>
      <c r="B321" s="4"/>
      <c r="C321" s="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1"/>
    </row>
    <row r="322">
      <c r="A322" s="4"/>
      <c r="B322" s="4"/>
      <c r="C322" s="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1"/>
    </row>
    <row r="323">
      <c r="A323" s="4"/>
      <c r="B323" s="4"/>
      <c r="C323" s="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1"/>
    </row>
    <row r="324">
      <c r="A324" s="4"/>
      <c r="B324" s="4"/>
      <c r="C324" s="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1"/>
    </row>
    <row r="325">
      <c r="A325" s="4"/>
      <c r="B325" s="4"/>
      <c r="C325" s="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1"/>
    </row>
    <row r="326">
      <c r="A326" s="4"/>
      <c r="B326" s="4"/>
      <c r="C326" s="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1"/>
    </row>
    <row r="327">
      <c r="A327" s="4"/>
      <c r="B327" s="4"/>
      <c r="C327" s="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1"/>
    </row>
    <row r="328">
      <c r="A328" s="4"/>
      <c r="B328" s="4"/>
      <c r="C328" s="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1"/>
    </row>
    <row r="329">
      <c r="A329" s="4"/>
      <c r="B329" s="4"/>
      <c r="C329" s="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1"/>
    </row>
    <row r="330">
      <c r="A330" s="4"/>
      <c r="B330" s="4"/>
      <c r="C330" s="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1"/>
    </row>
    <row r="331">
      <c r="A331" s="4"/>
      <c r="B331" s="4"/>
      <c r="C331" s="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1"/>
    </row>
    <row r="332">
      <c r="A332" s="4"/>
      <c r="B332" s="4"/>
      <c r="C332" s="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1"/>
    </row>
    <row r="333">
      <c r="A333" s="4"/>
      <c r="B333" s="4"/>
      <c r="C333" s="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1"/>
    </row>
    <row r="334">
      <c r="A334" s="4"/>
      <c r="B334" s="4"/>
      <c r="C334" s="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1"/>
    </row>
    <row r="335">
      <c r="A335" s="4"/>
      <c r="B335" s="4"/>
      <c r="C335" s="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1"/>
    </row>
    <row r="336">
      <c r="A336" s="4"/>
      <c r="B336" s="4"/>
      <c r="C336" s="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1"/>
    </row>
    <row r="337">
      <c r="A337" s="4"/>
      <c r="B337" s="4"/>
      <c r="C337" s="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1"/>
    </row>
    <row r="338">
      <c r="A338" s="4"/>
      <c r="B338" s="4"/>
      <c r="C338" s="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1"/>
    </row>
    <row r="339">
      <c r="A339" s="4"/>
      <c r="B339" s="4"/>
      <c r="C339" s="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1"/>
    </row>
    <row r="340">
      <c r="A340" s="4"/>
      <c r="B340" s="4"/>
      <c r="C340" s="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1"/>
    </row>
    <row r="341">
      <c r="A341" s="4"/>
      <c r="B341" s="4"/>
      <c r="C341" s="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1"/>
    </row>
    <row r="342">
      <c r="A342" s="4"/>
      <c r="B342" s="4"/>
      <c r="C342" s="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1"/>
    </row>
    <row r="343">
      <c r="A343" s="4"/>
      <c r="B343" s="4"/>
      <c r="C343" s="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1"/>
    </row>
    <row r="344">
      <c r="A344" s="4"/>
      <c r="B344" s="4"/>
      <c r="C344" s="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1"/>
    </row>
    <row r="345">
      <c r="A345" s="4"/>
      <c r="B345" s="4"/>
      <c r="C345" s="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1"/>
    </row>
    <row r="346">
      <c r="A346" s="4"/>
      <c r="B346" s="4"/>
      <c r="C346" s="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1"/>
    </row>
    <row r="347">
      <c r="A347" s="4"/>
      <c r="B347" s="4"/>
      <c r="C347" s="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1"/>
    </row>
    <row r="348">
      <c r="A348" s="4"/>
      <c r="B348" s="4"/>
      <c r="C348" s="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1"/>
    </row>
    <row r="349">
      <c r="A349" s="4"/>
      <c r="B349" s="4"/>
      <c r="C349" s="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1"/>
    </row>
    <row r="350">
      <c r="A350" s="4"/>
      <c r="B350" s="4"/>
      <c r="C350" s="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1"/>
    </row>
    <row r="351">
      <c r="A351" s="4"/>
      <c r="B351" s="4"/>
      <c r="C351" s="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1"/>
    </row>
    <row r="352">
      <c r="A352" s="4"/>
      <c r="B352" s="4"/>
      <c r="C352" s="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1"/>
    </row>
    <row r="353">
      <c r="A353" s="4"/>
      <c r="B353" s="4"/>
      <c r="C353" s="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1"/>
    </row>
    <row r="354">
      <c r="A354" s="4"/>
      <c r="B354" s="4"/>
      <c r="C354" s="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1"/>
    </row>
    <row r="355">
      <c r="A355" s="4"/>
      <c r="B355" s="4"/>
      <c r="C355" s="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1"/>
    </row>
    <row r="356">
      <c r="A356" s="4"/>
      <c r="B356" s="4"/>
      <c r="C356" s="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1"/>
    </row>
    <row r="357">
      <c r="A357" s="4"/>
      <c r="B357" s="4"/>
      <c r="C357" s="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1"/>
    </row>
    <row r="358">
      <c r="A358" s="4"/>
      <c r="B358" s="4"/>
      <c r="C358" s="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1"/>
    </row>
    <row r="359">
      <c r="A359" s="4"/>
      <c r="B359" s="4"/>
      <c r="C359" s="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1"/>
    </row>
    <row r="360">
      <c r="A360" s="4"/>
      <c r="B360" s="4"/>
      <c r="C360" s="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1"/>
    </row>
    <row r="361">
      <c r="A361" s="4"/>
      <c r="B361" s="4"/>
      <c r="C361" s="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1"/>
    </row>
    <row r="362">
      <c r="A362" s="4"/>
      <c r="B362" s="4"/>
      <c r="C362" s="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1"/>
    </row>
    <row r="363">
      <c r="A363" s="4"/>
      <c r="B363" s="4"/>
      <c r="C363" s="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1"/>
    </row>
    <row r="364">
      <c r="A364" s="4"/>
      <c r="B364" s="4"/>
      <c r="C364" s="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1"/>
    </row>
    <row r="365">
      <c r="A365" s="4"/>
      <c r="B365" s="4"/>
      <c r="C365" s="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1"/>
    </row>
    <row r="366">
      <c r="A366" s="4"/>
      <c r="B366" s="4"/>
      <c r="C366" s="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1"/>
    </row>
    <row r="367">
      <c r="A367" s="4"/>
      <c r="B367" s="4"/>
      <c r="C367" s="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1"/>
    </row>
    <row r="368">
      <c r="A368" s="4"/>
      <c r="B368" s="4"/>
      <c r="C368" s="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1"/>
    </row>
    <row r="369">
      <c r="A369" s="4"/>
      <c r="B369" s="4"/>
      <c r="C369" s="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1"/>
    </row>
    <row r="370">
      <c r="A370" s="4"/>
      <c r="B370" s="4"/>
      <c r="C370" s="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1"/>
    </row>
    <row r="371">
      <c r="A371" s="4"/>
      <c r="B371" s="4"/>
      <c r="C371" s="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1"/>
    </row>
    <row r="372">
      <c r="A372" s="4"/>
      <c r="B372" s="4"/>
      <c r="C372" s="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1"/>
    </row>
    <row r="373">
      <c r="A373" s="4"/>
      <c r="B373" s="4"/>
      <c r="C373" s="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1"/>
    </row>
    <row r="374">
      <c r="A374" s="4"/>
      <c r="B374" s="4"/>
      <c r="C374" s="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1"/>
    </row>
    <row r="375">
      <c r="A375" s="4"/>
      <c r="B375" s="4"/>
      <c r="C375" s="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1"/>
    </row>
    <row r="376">
      <c r="A376" s="4"/>
      <c r="B376" s="4"/>
      <c r="C376" s="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1"/>
    </row>
    <row r="377">
      <c r="A377" s="4"/>
      <c r="B377" s="4"/>
      <c r="C377" s="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1"/>
    </row>
    <row r="378">
      <c r="A378" s="4"/>
      <c r="B378" s="4"/>
      <c r="C378" s="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1"/>
    </row>
    <row r="379">
      <c r="A379" s="4"/>
      <c r="B379" s="4"/>
      <c r="C379" s="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1"/>
    </row>
    <row r="380">
      <c r="A380" s="4"/>
      <c r="B380" s="4"/>
      <c r="C380" s="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1"/>
    </row>
    <row r="381">
      <c r="A381" s="4"/>
      <c r="B381" s="4"/>
      <c r="C381" s="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1"/>
    </row>
    <row r="382">
      <c r="A382" s="4"/>
      <c r="B382" s="4"/>
      <c r="C382" s="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1"/>
    </row>
    <row r="383">
      <c r="A383" s="4"/>
      <c r="B383" s="4"/>
      <c r="C383" s="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1"/>
    </row>
    <row r="384">
      <c r="A384" s="4"/>
      <c r="B384" s="4"/>
      <c r="C384" s="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1"/>
    </row>
    <row r="385">
      <c r="A385" s="4"/>
      <c r="B385" s="4"/>
      <c r="C385" s="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1"/>
    </row>
    <row r="386">
      <c r="A386" s="4"/>
      <c r="B386" s="4"/>
      <c r="C386" s="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1"/>
    </row>
    <row r="387">
      <c r="A387" s="4"/>
      <c r="B387" s="4"/>
      <c r="C387" s="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1"/>
    </row>
    <row r="388">
      <c r="A388" s="4"/>
      <c r="B388" s="4"/>
      <c r="C388" s="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1"/>
    </row>
    <row r="389">
      <c r="A389" s="4"/>
      <c r="B389" s="4"/>
      <c r="C389" s="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1"/>
    </row>
    <row r="390">
      <c r="A390" s="4"/>
      <c r="B390" s="4"/>
      <c r="C390" s="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1"/>
    </row>
    <row r="391">
      <c r="A391" s="4"/>
      <c r="B391" s="4"/>
      <c r="C391" s="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1"/>
    </row>
    <row r="392">
      <c r="A392" s="4"/>
      <c r="B392" s="4"/>
      <c r="C392" s="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1"/>
    </row>
    <row r="393">
      <c r="A393" s="4"/>
      <c r="B393" s="4"/>
      <c r="C393" s="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1"/>
    </row>
    <row r="394">
      <c r="A394" s="4"/>
      <c r="B394" s="4"/>
      <c r="C394" s="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1"/>
    </row>
    <row r="395">
      <c r="A395" s="4"/>
      <c r="B395" s="4"/>
      <c r="C395" s="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1"/>
    </row>
    <row r="396">
      <c r="A396" s="4"/>
      <c r="B396" s="4"/>
      <c r="C396" s="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1"/>
    </row>
    <row r="397">
      <c r="A397" s="4"/>
      <c r="B397" s="4"/>
      <c r="C397" s="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1"/>
    </row>
    <row r="398">
      <c r="A398" s="4"/>
      <c r="B398" s="4"/>
      <c r="C398" s="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1"/>
    </row>
    <row r="399">
      <c r="A399" s="4"/>
      <c r="B399" s="4"/>
      <c r="C399" s="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1"/>
    </row>
    <row r="400">
      <c r="A400" s="4"/>
      <c r="B400" s="4"/>
      <c r="C400" s="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1"/>
    </row>
    <row r="401">
      <c r="A401" s="4"/>
      <c r="B401" s="4"/>
      <c r="C401" s="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1"/>
    </row>
    <row r="402">
      <c r="A402" s="4"/>
      <c r="B402" s="4"/>
      <c r="C402" s="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1"/>
    </row>
    <row r="403">
      <c r="A403" s="4"/>
      <c r="B403" s="4"/>
      <c r="C403" s="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1"/>
    </row>
    <row r="404">
      <c r="A404" s="4"/>
      <c r="B404" s="4"/>
      <c r="C404" s="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1"/>
    </row>
    <row r="405">
      <c r="A405" s="4"/>
      <c r="B405" s="4"/>
      <c r="C405" s="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1"/>
    </row>
    <row r="406">
      <c r="A406" s="4"/>
      <c r="B406" s="4"/>
      <c r="C406" s="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1"/>
    </row>
    <row r="407">
      <c r="A407" s="4"/>
      <c r="B407" s="4"/>
      <c r="C407" s="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1"/>
    </row>
    <row r="408">
      <c r="A408" s="4"/>
      <c r="B408" s="4"/>
      <c r="C408" s="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1"/>
    </row>
    <row r="409">
      <c r="A409" s="4"/>
      <c r="B409" s="4"/>
      <c r="C409" s="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1"/>
    </row>
    <row r="410">
      <c r="A410" s="4"/>
      <c r="B410" s="4"/>
      <c r="C410" s="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1"/>
    </row>
    <row r="411">
      <c r="A411" s="4"/>
      <c r="B411" s="4"/>
      <c r="C411" s="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1"/>
    </row>
    <row r="412">
      <c r="A412" s="4"/>
      <c r="B412" s="4"/>
      <c r="C412" s="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1"/>
    </row>
    <row r="413">
      <c r="A413" s="4"/>
      <c r="B413" s="4"/>
      <c r="C413" s="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1"/>
    </row>
    <row r="414">
      <c r="A414" s="4"/>
      <c r="B414" s="4"/>
      <c r="C414" s="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1"/>
    </row>
    <row r="415">
      <c r="A415" s="4"/>
      <c r="B415" s="4"/>
      <c r="C415" s="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1"/>
    </row>
    <row r="416">
      <c r="A416" s="4"/>
      <c r="B416" s="4"/>
      <c r="C416" s="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1"/>
    </row>
    <row r="417">
      <c r="A417" s="4"/>
      <c r="B417" s="4"/>
      <c r="C417" s="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1"/>
    </row>
    <row r="418">
      <c r="A418" s="4"/>
      <c r="B418" s="4"/>
      <c r="C418" s="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1"/>
    </row>
    <row r="419">
      <c r="A419" s="4"/>
      <c r="B419" s="4"/>
      <c r="C419" s="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1"/>
    </row>
    <row r="420">
      <c r="A420" s="4"/>
      <c r="B420" s="4"/>
      <c r="C420" s="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1"/>
    </row>
    <row r="421">
      <c r="A421" s="4"/>
      <c r="B421" s="4"/>
      <c r="C421" s="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1"/>
    </row>
    <row r="422">
      <c r="A422" s="4"/>
      <c r="B422" s="4"/>
      <c r="C422" s="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1"/>
    </row>
    <row r="423">
      <c r="A423" s="4"/>
      <c r="B423" s="4"/>
      <c r="C423" s="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1"/>
    </row>
    <row r="424">
      <c r="A424" s="4"/>
      <c r="B424" s="4"/>
      <c r="C424" s="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1"/>
    </row>
    <row r="425">
      <c r="A425" s="4"/>
      <c r="B425" s="4"/>
      <c r="C425" s="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1"/>
    </row>
    <row r="426">
      <c r="A426" s="4"/>
      <c r="B426" s="4"/>
      <c r="C426" s="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1"/>
    </row>
    <row r="427">
      <c r="A427" s="4"/>
      <c r="B427" s="4"/>
      <c r="C427" s="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1"/>
    </row>
    <row r="428">
      <c r="A428" s="4"/>
      <c r="B428" s="4"/>
      <c r="C428" s="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1"/>
    </row>
    <row r="429">
      <c r="A429" s="4"/>
      <c r="B429" s="4"/>
      <c r="C429" s="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1"/>
    </row>
    <row r="430">
      <c r="A430" s="4"/>
      <c r="B430" s="4"/>
      <c r="C430" s="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1"/>
    </row>
    <row r="431">
      <c r="A431" s="4"/>
      <c r="B431" s="4"/>
      <c r="C431" s="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1"/>
    </row>
    <row r="432">
      <c r="A432" s="4"/>
      <c r="B432" s="4"/>
      <c r="C432" s="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1"/>
    </row>
    <row r="433">
      <c r="A433" s="4"/>
      <c r="B433" s="4"/>
      <c r="C433" s="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1"/>
    </row>
    <row r="434">
      <c r="A434" s="4"/>
      <c r="B434" s="4"/>
      <c r="C434" s="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1"/>
    </row>
    <row r="435">
      <c r="A435" s="4"/>
      <c r="B435" s="4"/>
      <c r="C435" s="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1"/>
    </row>
    <row r="436">
      <c r="A436" s="4"/>
      <c r="B436" s="4"/>
      <c r="C436" s="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1"/>
    </row>
    <row r="437">
      <c r="A437" s="4"/>
      <c r="B437" s="4"/>
      <c r="C437" s="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1"/>
    </row>
    <row r="438">
      <c r="A438" s="4"/>
      <c r="B438" s="4"/>
      <c r="C438" s="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1"/>
    </row>
    <row r="439">
      <c r="A439" s="4"/>
      <c r="B439" s="4"/>
      <c r="C439" s="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1"/>
    </row>
    <row r="440">
      <c r="A440" s="4"/>
      <c r="B440" s="4"/>
      <c r="C440" s="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1"/>
    </row>
    <row r="441">
      <c r="A441" s="4"/>
      <c r="B441" s="4"/>
      <c r="C441" s="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1"/>
    </row>
    <row r="442">
      <c r="A442" s="4"/>
      <c r="B442" s="4"/>
      <c r="C442" s="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1"/>
    </row>
    <row r="443">
      <c r="A443" s="4"/>
      <c r="B443" s="4"/>
      <c r="C443" s="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1"/>
    </row>
    <row r="444">
      <c r="A444" s="4"/>
      <c r="B444" s="4"/>
      <c r="C444" s="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1"/>
    </row>
    <row r="445">
      <c r="A445" s="4"/>
      <c r="B445" s="4"/>
      <c r="C445" s="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1"/>
    </row>
    <row r="446">
      <c r="A446" s="4"/>
      <c r="B446" s="4"/>
      <c r="C446" s="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1"/>
    </row>
    <row r="447">
      <c r="A447" s="4"/>
      <c r="B447" s="4"/>
      <c r="C447" s="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1"/>
    </row>
    <row r="448">
      <c r="A448" s="4"/>
      <c r="B448" s="4"/>
      <c r="C448" s="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1"/>
    </row>
    <row r="449">
      <c r="A449" s="4"/>
      <c r="B449" s="4"/>
      <c r="C449" s="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1"/>
    </row>
    <row r="450">
      <c r="A450" s="4"/>
      <c r="B450" s="4"/>
      <c r="C450" s="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1"/>
    </row>
    <row r="451">
      <c r="A451" s="4"/>
      <c r="B451" s="4"/>
      <c r="C451" s="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1"/>
    </row>
    <row r="452">
      <c r="A452" s="4"/>
      <c r="B452" s="4"/>
      <c r="C452" s="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1"/>
    </row>
    <row r="453">
      <c r="A453" s="4"/>
      <c r="B453" s="4"/>
      <c r="C453" s="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1"/>
    </row>
    <row r="454">
      <c r="A454" s="4"/>
      <c r="B454" s="4"/>
      <c r="C454" s="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1"/>
    </row>
    <row r="455">
      <c r="A455" s="4"/>
      <c r="B455" s="4"/>
      <c r="C455" s="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1"/>
    </row>
    <row r="456">
      <c r="A456" s="4"/>
      <c r="B456" s="4"/>
      <c r="C456" s="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1"/>
    </row>
    <row r="457">
      <c r="A457" s="4"/>
      <c r="B457" s="4"/>
      <c r="C457" s="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1"/>
    </row>
    <row r="458">
      <c r="A458" s="4"/>
      <c r="B458" s="4"/>
      <c r="C458" s="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1"/>
    </row>
    <row r="459">
      <c r="A459" s="4"/>
      <c r="B459" s="4"/>
      <c r="C459" s="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1"/>
    </row>
    <row r="460">
      <c r="A460" s="4"/>
      <c r="B460" s="4"/>
      <c r="C460" s="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1"/>
    </row>
    <row r="461">
      <c r="A461" s="4"/>
      <c r="B461" s="4"/>
      <c r="C461" s="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1"/>
    </row>
    <row r="462">
      <c r="A462" s="4"/>
      <c r="B462" s="4"/>
      <c r="C462" s="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1"/>
    </row>
    <row r="463">
      <c r="A463" s="4"/>
      <c r="B463" s="4"/>
      <c r="C463" s="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1"/>
    </row>
    <row r="464">
      <c r="A464" s="4"/>
      <c r="B464" s="4"/>
      <c r="C464" s="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1"/>
    </row>
    <row r="465">
      <c r="A465" s="4"/>
      <c r="B465" s="4"/>
      <c r="C465" s="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1"/>
    </row>
    <row r="466">
      <c r="A466" s="4"/>
      <c r="B466" s="4"/>
      <c r="C466" s="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1"/>
    </row>
    <row r="467">
      <c r="A467" s="4"/>
      <c r="B467" s="4"/>
      <c r="C467" s="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1"/>
    </row>
    <row r="468">
      <c r="A468" s="4"/>
      <c r="B468" s="4"/>
      <c r="C468" s="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1"/>
    </row>
    <row r="469">
      <c r="A469" s="4"/>
      <c r="B469" s="4"/>
      <c r="C469" s="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1"/>
    </row>
    <row r="470">
      <c r="A470" s="4"/>
      <c r="B470" s="4"/>
      <c r="C470" s="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1"/>
    </row>
    <row r="471">
      <c r="A471" s="4"/>
      <c r="B471" s="4"/>
      <c r="C471" s="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1"/>
    </row>
    <row r="472">
      <c r="A472" s="4"/>
      <c r="B472" s="4"/>
      <c r="C472" s="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1"/>
    </row>
    <row r="473">
      <c r="A473" s="4"/>
      <c r="B473" s="4"/>
      <c r="C473" s="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1"/>
    </row>
    <row r="474">
      <c r="A474" s="4"/>
      <c r="B474" s="4"/>
      <c r="C474" s="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1"/>
    </row>
    <row r="475">
      <c r="A475" s="4"/>
      <c r="B475" s="4"/>
      <c r="C475" s="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1"/>
    </row>
    <row r="476">
      <c r="A476" s="4"/>
      <c r="B476" s="4"/>
      <c r="C476" s="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1"/>
    </row>
    <row r="477">
      <c r="A477" s="4"/>
      <c r="B477" s="4"/>
      <c r="C477" s="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1"/>
    </row>
    <row r="478">
      <c r="A478" s="4"/>
      <c r="B478" s="4"/>
      <c r="C478" s="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1"/>
    </row>
    <row r="479">
      <c r="A479" s="4"/>
      <c r="B479" s="4"/>
      <c r="C479" s="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1"/>
    </row>
    <row r="480">
      <c r="A480" s="4"/>
      <c r="B480" s="4"/>
      <c r="C480" s="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1"/>
    </row>
    <row r="481">
      <c r="A481" s="4"/>
      <c r="B481" s="4"/>
      <c r="C481" s="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1"/>
    </row>
    <row r="482">
      <c r="A482" s="4"/>
      <c r="B482" s="4"/>
      <c r="C482" s="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1"/>
    </row>
    <row r="483">
      <c r="A483" s="4"/>
      <c r="B483" s="4"/>
      <c r="C483" s="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1"/>
    </row>
    <row r="484">
      <c r="A484" s="4"/>
      <c r="B484" s="4"/>
      <c r="C484" s="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1"/>
    </row>
    <row r="485">
      <c r="A485" s="4"/>
      <c r="B485" s="4"/>
      <c r="C485" s="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1"/>
    </row>
    <row r="486">
      <c r="A486" s="4"/>
      <c r="B486" s="4"/>
      <c r="C486" s="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1"/>
    </row>
    <row r="487">
      <c r="A487" s="4"/>
      <c r="B487" s="4"/>
      <c r="C487" s="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1"/>
    </row>
    <row r="488">
      <c r="A488" s="4"/>
      <c r="B488" s="4"/>
      <c r="C488" s="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1"/>
    </row>
    <row r="489">
      <c r="A489" s="4"/>
      <c r="B489" s="4"/>
      <c r="C489" s="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1"/>
    </row>
    <row r="490">
      <c r="A490" s="4"/>
      <c r="B490" s="4"/>
      <c r="C490" s="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1"/>
    </row>
    <row r="491">
      <c r="A491" s="4"/>
      <c r="B491" s="4"/>
      <c r="C491" s="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1"/>
    </row>
    <row r="492">
      <c r="A492" s="4"/>
      <c r="B492" s="4"/>
      <c r="C492" s="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1"/>
    </row>
    <row r="493">
      <c r="A493" s="4"/>
      <c r="B493" s="4"/>
      <c r="C493" s="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1"/>
    </row>
    <row r="494">
      <c r="A494" s="4"/>
      <c r="B494" s="4"/>
      <c r="C494" s="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1"/>
    </row>
    <row r="495">
      <c r="A495" s="4"/>
      <c r="B495" s="4"/>
      <c r="C495" s="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1"/>
    </row>
    <row r="496">
      <c r="A496" s="4"/>
      <c r="B496" s="4"/>
      <c r="C496" s="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1"/>
    </row>
    <row r="497">
      <c r="A497" s="4"/>
      <c r="B497" s="4"/>
      <c r="C497" s="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1"/>
    </row>
    <row r="498">
      <c r="A498" s="4"/>
      <c r="B498" s="4"/>
      <c r="C498" s="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1"/>
    </row>
    <row r="499">
      <c r="A499" s="4"/>
      <c r="B499" s="4"/>
      <c r="C499" s="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1"/>
    </row>
    <row r="500">
      <c r="A500" s="4"/>
      <c r="B500" s="4"/>
      <c r="C500" s="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1"/>
    </row>
    <row r="501">
      <c r="A501" s="4"/>
      <c r="B501" s="4"/>
      <c r="C501" s="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1"/>
    </row>
    <row r="502">
      <c r="A502" s="4"/>
      <c r="B502" s="4"/>
      <c r="C502" s="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1"/>
    </row>
    <row r="503">
      <c r="A503" s="4"/>
      <c r="B503" s="4"/>
      <c r="C503" s="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1"/>
    </row>
    <row r="504">
      <c r="A504" s="4"/>
      <c r="B504" s="4"/>
      <c r="C504" s="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1"/>
    </row>
    <row r="505">
      <c r="A505" s="4"/>
      <c r="B505" s="4"/>
      <c r="C505" s="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1"/>
    </row>
    <row r="506">
      <c r="A506" s="4"/>
      <c r="B506" s="4"/>
      <c r="C506" s="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1"/>
    </row>
    <row r="507">
      <c r="A507" s="4"/>
      <c r="B507" s="4"/>
      <c r="C507" s="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1"/>
    </row>
    <row r="508">
      <c r="A508" s="4"/>
      <c r="B508" s="4"/>
      <c r="C508" s="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1"/>
    </row>
    <row r="509">
      <c r="A509" s="4"/>
      <c r="B509" s="4"/>
      <c r="C509" s="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1"/>
    </row>
    <row r="510">
      <c r="A510" s="4"/>
      <c r="B510" s="4"/>
      <c r="C510" s="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1"/>
    </row>
    <row r="511">
      <c r="A511" s="4"/>
      <c r="B511" s="4"/>
      <c r="C511" s="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1"/>
    </row>
    <row r="512">
      <c r="A512" s="4"/>
      <c r="B512" s="4"/>
      <c r="C512" s="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1"/>
    </row>
    <row r="513">
      <c r="A513" s="4"/>
      <c r="B513" s="4"/>
      <c r="C513" s="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1"/>
    </row>
    <row r="514">
      <c r="A514" s="4"/>
      <c r="B514" s="4"/>
      <c r="C514" s="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1"/>
    </row>
    <row r="515">
      <c r="A515" s="4"/>
      <c r="B515" s="4"/>
      <c r="C515" s="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1"/>
    </row>
    <row r="516">
      <c r="A516" s="4"/>
      <c r="B516" s="4"/>
      <c r="C516" s="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1"/>
    </row>
    <row r="517">
      <c r="A517" s="4"/>
      <c r="B517" s="4"/>
      <c r="C517" s="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1"/>
    </row>
    <row r="518">
      <c r="A518" s="4"/>
      <c r="B518" s="4"/>
      <c r="C518" s="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1"/>
    </row>
    <row r="519">
      <c r="A519" s="4"/>
      <c r="B519" s="4"/>
      <c r="C519" s="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1"/>
    </row>
    <row r="520">
      <c r="A520" s="4"/>
      <c r="B520" s="4"/>
      <c r="C520" s="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1"/>
    </row>
    <row r="521">
      <c r="A521" s="4"/>
      <c r="B521" s="4"/>
      <c r="C521" s="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1"/>
    </row>
    <row r="522">
      <c r="A522" s="4"/>
      <c r="B522" s="4"/>
      <c r="C522" s="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1"/>
    </row>
    <row r="523">
      <c r="A523" s="4"/>
      <c r="B523" s="4"/>
      <c r="C523" s="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1"/>
    </row>
    <row r="524">
      <c r="A524" s="4"/>
      <c r="B524" s="4"/>
      <c r="C524" s="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1"/>
    </row>
    <row r="525">
      <c r="A525" s="4"/>
      <c r="B525" s="4"/>
      <c r="C525" s="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1"/>
    </row>
    <row r="526">
      <c r="A526" s="4"/>
      <c r="B526" s="4"/>
      <c r="C526" s="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1"/>
    </row>
    <row r="527">
      <c r="A527" s="4"/>
      <c r="B527" s="4"/>
      <c r="C527" s="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1"/>
    </row>
    <row r="528">
      <c r="A528" s="4"/>
      <c r="B528" s="4"/>
      <c r="C528" s="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1"/>
    </row>
    <row r="529">
      <c r="A529" s="4"/>
      <c r="B529" s="4"/>
      <c r="C529" s="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1"/>
    </row>
    <row r="530">
      <c r="A530" s="4"/>
      <c r="B530" s="4"/>
      <c r="C530" s="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1"/>
    </row>
    <row r="531">
      <c r="A531" s="4"/>
      <c r="B531" s="4"/>
      <c r="C531" s="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1"/>
    </row>
    <row r="532">
      <c r="A532" s="4"/>
      <c r="B532" s="4"/>
      <c r="C532" s="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1"/>
    </row>
    <row r="533">
      <c r="A533" s="4"/>
      <c r="B533" s="4"/>
      <c r="C533" s="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1"/>
    </row>
    <row r="534">
      <c r="A534" s="4"/>
      <c r="B534" s="4"/>
      <c r="C534" s="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1"/>
    </row>
    <row r="535">
      <c r="A535" s="4"/>
      <c r="B535" s="4"/>
      <c r="C535" s="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1"/>
    </row>
    <row r="536">
      <c r="A536" s="4"/>
      <c r="B536" s="4"/>
      <c r="C536" s="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1"/>
    </row>
    <row r="537">
      <c r="A537" s="4"/>
      <c r="B537" s="4"/>
      <c r="C537" s="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1"/>
    </row>
    <row r="538">
      <c r="A538" s="4"/>
      <c r="B538" s="4"/>
      <c r="C538" s="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1"/>
    </row>
    <row r="539">
      <c r="A539" s="4"/>
      <c r="B539" s="4"/>
      <c r="C539" s="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1"/>
    </row>
    <row r="540">
      <c r="A540" s="4"/>
      <c r="B540" s="4"/>
      <c r="C540" s="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1"/>
    </row>
    <row r="541">
      <c r="A541" s="4"/>
      <c r="B541" s="4"/>
      <c r="C541" s="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1"/>
    </row>
    <row r="542">
      <c r="A542" s="4"/>
      <c r="B542" s="4"/>
      <c r="C542" s="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1"/>
    </row>
    <row r="543">
      <c r="A543" s="4"/>
      <c r="B543" s="4"/>
      <c r="C543" s="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1"/>
    </row>
    <row r="544">
      <c r="A544" s="4"/>
      <c r="B544" s="4"/>
      <c r="C544" s="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1"/>
    </row>
    <row r="545">
      <c r="A545" s="4"/>
      <c r="B545" s="4"/>
      <c r="C545" s="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1"/>
    </row>
    <row r="546">
      <c r="A546" s="4"/>
      <c r="B546" s="4"/>
      <c r="C546" s="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1"/>
    </row>
    <row r="547">
      <c r="A547" s="4"/>
      <c r="B547" s="4"/>
      <c r="C547" s="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1"/>
    </row>
    <row r="548">
      <c r="A548" s="4"/>
      <c r="B548" s="4"/>
      <c r="C548" s="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1"/>
    </row>
    <row r="549">
      <c r="A549" s="4"/>
      <c r="B549" s="4"/>
      <c r="C549" s="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1"/>
    </row>
    <row r="550">
      <c r="A550" s="4"/>
      <c r="B550" s="4"/>
      <c r="C550" s="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1"/>
    </row>
    <row r="551">
      <c r="A551" s="4"/>
      <c r="B551" s="4"/>
      <c r="C551" s="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1"/>
    </row>
    <row r="552">
      <c r="A552" s="4"/>
      <c r="B552" s="4"/>
      <c r="C552" s="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1"/>
    </row>
    <row r="553">
      <c r="A553" s="4"/>
      <c r="B553" s="4"/>
      <c r="C553" s="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1"/>
    </row>
    <row r="554">
      <c r="A554" s="4"/>
      <c r="B554" s="4"/>
      <c r="C554" s="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1"/>
    </row>
    <row r="555">
      <c r="A555" s="4"/>
      <c r="B555" s="4"/>
      <c r="C555" s="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1"/>
    </row>
    <row r="556">
      <c r="A556" s="4"/>
      <c r="B556" s="4"/>
      <c r="C556" s="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1"/>
    </row>
    <row r="557">
      <c r="A557" s="4"/>
      <c r="B557" s="4"/>
      <c r="C557" s="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1"/>
    </row>
    <row r="558">
      <c r="A558" s="4"/>
      <c r="B558" s="4"/>
      <c r="C558" s="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1"/>
    </row>
    <row r="559">
      <c r="A559" s="4"/>
      <c r="B559" s="4"/>
      <c r="C559" s="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1"/>
    </row>
    <row r="560">
      <c r="A560" s="4"/>
      <c r="B560" s="4"/>
      <c r="C560" s="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1"/>
    </row>
    <row r="561">
      <c r="A561" s="4"/>
      <c r="B561" s="4"/>
      <c r="C561" s="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1"/>
    </row>
    <row r="562">
      <c r="A562" s="4"/>
      <c r="B562" s="4"/>
      <c r="C562" s="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1"/>
    </row>
    <row r="563">
      <c r="A563" s="4"/>
      <c r="B563" s="4"/>
      <c r="C563" s="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1"/>
    </row>
    <row r="564">
      <c r="A564" s="4"/>
      <c r="B564" s="4"/>
      <c r="C564" s="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1"/>
    </row>
    <row r="565">
      <c r="A565" s="4"/>
      <c r="B565" s="4"/>
      <c r="C565" s="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1"/>
    </row>
    <row r="566">
      <c r="A566" s="4"/>
      <c r="B566" s="4"/>
      <c r="C566" s="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1"/>
    </row>
    <row r="567">
      <c r="A567" s="4"/>
      <c r="B567" s="4"/>
      <c r="C567" s="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1"/>
    </row>
    <row r="568">
      <c r="A568" s="4"/>
      <c r="B568" s="4"/>
      <c r="C568" s="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1"/>
    </row>
    <row r="569">
      <c r="A569" s="4"/>
      <c r="B569" s="4"/>
      <c r="C569" s="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1"/>
    </row>
    <row r="570">
      <c r="A570" s="4"/>
      <c r="B570" s="4"/>
      <c r="C570" s="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1"/>
    </row>
    <row r="571">
      <c r="A571" s="4"/>
      <c r="B571" s="4"/>
      <c r="C571" s="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1"/>
    </row>
    <row r="572">
      <c r="A572" s="4"/>
      <c r="B572" s="4"/>
      <c r="C572" s="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1"/>
    </row>
    <row r="573">
      <c r="A573" s="4"/>
      <c r="B573" s="4"/>
      <c r="C573" s="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1"/>
    </row>
    <row r="574">
      <c r="A574" s="4"/>
      <c r="B574" s="4"/>
      <c r="C574" s="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1"/>
    </row>
    <row r="575">
      <c r="A575" s="4"/>
      <c r="B575" s="4"/>
      <c r="C575" s="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1"/>
    </row>
    <row r="576">
      <c r="A576" s="4"/>
      <c r="B576" s="4"/>
      <c r="C576" s="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1"/>
    </row>
    <row r="577">
      <c r="A577" s="4"/>
      <c r="B577" s="4"/>
      <c r="C577" s="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1"/>
    </row>
    <row r="578">
      <c r="A578" s="4"/>
      <c r="B578" s="4"/>
      <c r="C578" s="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1"/>
    </row>
    <row r="579">
      <c r="A579" s="4"/>
      <c r="B579" s="4"/>
      <c r="C579" s="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1"/>
    </row>
    <row r="580">
      <c r="A580" s="4"/>
      <c r="B580" s="4"/>
      <c r="C580" s="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1"/>
    </row>
    <row r="581">
      <c r="A581" s="4"/>
      <c r="B581" s="4"/>
      <c r="C581" s="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1"/>
    </row>
    <row r="582">
      <c r="A582" s="4"/>
      <c r="B582" s="4"/>
      <c r="C582" s="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1"/>
    </row>
    <row r="583">
      <c r="A583" s="4"/>
      <c r="B583" s="4"/>
      <c r="C583" s="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1"/>
    </row>
    <row r="584">
      <c r="A584" s="4"/>
      <c r="B584" s="4"/>
      <c r="C584" s="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1"/>
    </row>
    <row r="585">
      <c r="A585" s="4"/>
      <c r="B585" s="4"/>
      <c r="C585" s="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1"/>
    </row>
    <row r="586">
      <c r="A586" s="4"/>
      <c r="B586" s="4"/>
      <c r="C586" s="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1"/>
    </row>
    <row r="587">
      <c r="A587" s="4"/>
      <c r="B587" s="4"/>
      <c r="C587" s="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1"/>
    </row>
    <row r="588">
      <c r="A588" s="4"/>
      <c r="B588" s="4"/>
      <c r="C588" s="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1"/>
    </row>
    <row r="589">
      <c r="A589" s="4"/>
      <c r="B589" s="4"/>
      <c r="C589" s="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1"/>
    </row>
    <row r="590">
      <c r="A590" s="4"/>
      <c r="B590" s="4"/>
      <c r="C590" s="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1"/>
    </row>
    <row r="591">
      <c r="A591" s="4"/>
      <c r="B591" s="4"/>
      <c r="C591" s="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1"/>
    </row>
    <row r="592">
      <c r="A592" s="4"/>
      <c r="B592" s="4"/>
      <c r="C592" s="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1"/>
    </row>
    <row r="593">
      <c r="A593" s="4"/>
      <c r="B593" s="4"/>
      <c r="C593" s="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1"/>
    </row>
    <row r="594">
      <c r="A594" s="4"/>
      <c r="B594" s="4"/>
      <c r="C594" s="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1"/>
    </row>
    <row r="595">
      <c r="A595" s="4"/>
      <c r="B595" s="4"/>
      <c r="C595" s="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1"/>
    </row>
    <row r="596">
      <c r="A596" s="4"/>
      <c r="B596" s="4"/>
      <c r="C596" s="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1"/>
    </row>
    <row r="597">
      <c r="A597" s="4"/>
      <c r="B597" s="4"/>
      <c r="C597" s="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1"/>
    </row>
    <row r="598">
      <c r="A598" s="4"/>
      <c r="B598" s="4"/>
      <c r="C598" s="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1"/>
    </row>
    <row r="599">
      <c r="A599" s="4"/>
      <c r="B599" s="4"/>
      <c r="C599" s="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1"/>
    </row>
    <row r="600">
      <c r="A600" s="4"/>
      <c r="B600" s="4"/>
      <c r="C600" s="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1"/>
    </row>
    <row r="601">
      <c r="A601" s="4"/>
      <c r="B601" s="4"/>
      <c r="C601" s="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1"/>
    </row>
    <row r="602">
      <c r="A602" s="4"/>
      <c r="B602" s="4"/>
      <c r="C602" s="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1"/>
    </row>
    <row r="603">
      <c r="A603" s="4"/>
      <c r="B603" s="4"/>
      <c r="C603" s="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1"/>
    </row>
    <row r="604">
      <c r="A604" s="4"/>
      <c r="B604" s="4"/>
      <c r="C604" s="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1"/>
    </row>
    <row r="605">
      <c r="A605" s="4"/>
      <c r="B605" s="4"/>
      <c r="C605" s="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1"/>
    </row>
    <row r="606">
      <c r="A606" s="4"/>
      <c r="B606" s="4"/>
      <c r="C606" s="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1"/>
    </row>
    <row r="607">
      <c r="A607" s="4"/>
      <c r="B607" s="4"/>
      <c r="C607" s="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1"/>
    </row>
    <row r="608">
      <c r="A608" s="4"/>
      <c r="B608" s="4"/>
      <c r="C608" s="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1"/>
    </row>
    <row r="609">
      <c r="A609" s="4"/>
      <c r="B609" s="4"/>
      <c r="C609" s="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1"/>
    </row>
    <row r="610">
      <c r="A610" s="4"/>
      <c r="B610" s="4"/>
      <c r="C610" s="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1"/>
    </row>
    <row r="611">
      <c r="A611" s="4"/>
      <c r="B611" s="4"/>
      <c r="C611" s="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1"/>
    </row>
    <row r="612">
      <c r="A612" s="4"/>
      <c r="B612" s="4"/>
      <c r="C612" s="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1"/>
    </row>
    <row r="613">
      <c r="A613" s="4"/>
      <c r="B613" s="4"/>
      <c r="C613" s="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1"/>
    </row>
    <row r="614">
      <c r="A614" s="4"/>
      <c r="B614" s="4"/>
      <c r="C614" s="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1"/>
    </row>
    <row r="615">
      <c r="A615" s="4"/>
      <c r="B615" s="4"/>
      <c r="C615" s="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1"/>
    </row>
    <row r="616">
      <c r="A616" s="4"/>
      <c r="B616" s="4"/>
      <c r="C616" s="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1"/>
    </row>
    <row r="617">
      <c r="A617" s="4"/>
      <c r="B617" s="4"/>
      <c r="C617" s="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1"/>
    </row>
    <row r="618">
      <c r="A618" s="4"/>
      <c r="B618" s="4"/>
      <c r="C618" s="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1"/>
    </row>
    <row r="619">
      <c r="A619" s="4"/>
      <c r="B619" s="4"/>
      <c r="C619" s="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1"/>
    </row>
    <row r="620">
      <c r="A620" s="4"/>
      <c r="B620" s="4"/>
      <c r="C620" s="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1"/>
    </row>
    <row r="621">
      <c r="A621" s="4"/>
      <c r="B621" s="4"/>
      <c r="C621" s="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1"/>
    </row>
    <row r="622">
      <c r="A622" s="4"/>
      <c r="B622" s="4"/>
      <c r="C622" s="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1"/>
    </row>
    <row r="623">
      <c r="A623" s="4"/>
      <c r="B623" s="4"/>
      <c r="C623" s="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1"/>
    </row>
    <row r="624">
      <c r="A624" s="4"/>
      <c r="B624" s="4"/>
      <c r="C624" s="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1"/>
    </row>
    <row r="625">
      <c r="A625" s="4"/>
      <c r="B625" s="4"/>
      <c r="C625" s="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1"/>
    </row>
    <row r="626">
      <c r="A626" s="4"/>
      <c r="B626" s="4"/>
      <c r="C626" s="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1"/>
    </row>
    <row r="627">
      <c r="A627" s="4"/>
      <c r="B627" s="4"/>
      <c r="C627" s="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1"/>
    </row>
    <row r="628">
      <c r="A628" s="4"/>
      <c r="B628" s="4"/>
      <c r="C628" s="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1"/>
    </row>
    <row r="629">
      <c r="A629" s="4"/>
      <c r="B629" s="4"/>
      <c r="C629" s="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1"/>
    </row>
    <row r="630">
      <c r="A630" s="4"/>
      <c r="B630" s="4"/>
      <c r="C630" s="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1"/>
    </row>
    <row r="631">
      <c r="A631" s="4"/>
      <c r="B631" s="4"/>
      <c r="C631" s="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1"/>
    </row>
    <row r="632">
      <c r="A632" s="4"/>
      <c r="B632" s="4"/>
      <c r="C632" s="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1"/>
    </row>
    <row r="633">
      <c r="A633" s="4"/>
      <c r="B633" s="4"/>
      <c r="C633" s="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1"/>
    </row>
    <row r="634">
      <c r="A634" s="4"/>
      <c r="B634" s="4"/>
      <c r="C634" s="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1"/>
    </row>
    <row r="635">
      <c r="A635" s="4"/>
      <c r="B635" s="4"/>
      <c r="C635" s="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1"/>
    </row>
    <row r="636">
      <c r="A636" s="4"/>
      <c r="B636" s="4"/>
      <c r="C636" s="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1"/>
    </row>
    <row r="637">
      <c r="A637" s="4"/>
      <c r="B637" s="4"/>
      <c r="C637" s="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1"/>
    </row>
    <row r="638">
      <c r="A638" s="4"/>
      <c r="B638" s="4"/>
      <c r="C638" s="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1"/>
    </row>
    <row r="639">
      <c r="A639" s="4"/>
      <c r="B639" s="4"/>
      <c r="C639" s="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1"/>
    </row>
    <row r="640">
      <c r="A640" s="4"/>
      <c r="B640" s="4"/>
      <c r="C640" s="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1"/>
    </row>
    <row r="641">
      <c r="A641" s="4"/>
      <c r="B641" s="4"/>
      <c r="C641" s="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1"/>
    </row>
    <row r="642">
      <c r="A642" s="4"/>
      <c r="B642" s="4"/>
      <c r="C642" s="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1"/>
    </row>
    <row r="643">
      <c r="A643" s="4"/>
      <c r="B643" s="4"/>
      <c r="C643" s="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1"/>
    </row>
    <row r="644">
      <c r="A644" s="4"/>
      <c r="B644" s="4"/>
      <c r="C644" s="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1"/>
    </row>
    <row r="645">
      <c r="A645" s="4"/>
      <c r="B645" s="4"/>
      <c r="C645" s="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1"/>
    </row>
    <row r="646">
      <c r="A646" s="4"/>
      <c r="B646" s="4"/>
      <c r="C646" s="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1"/>
    </row>
    <row r="647">
      <c r="A647" s="4"/>
      <c r="B647" s="4"/>
      <c r="C647" s="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1"/>
    </row>
    <row r="648">
      <c r="A648" s="4"/>
      <c r="B648" s="4"/>
      <c r="C648" s="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1"/>
    </row>
    <row r="649">
      <c r="A649" s="4"/>
      <c r="B649" s="4"/>
      <c r="C649" s="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1"/>
    </row>
    <row r="650">
      <c r="A650" s="4"/>
      <c r="B650" s="4"/>
      <c r="C650" s="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1"/>
    </row>
    <row r="651">
      <c r="A651" s="4"/>
      <c r="B651" s="4"/>
      <c r="C651" s="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1"/>
    </row>
    <row r="652">
      <c r="A652" s="4"/>
      <c r="B652" s="4"/>
      <c r="C652" s="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1"/>
    </row>
    <row r="653">
      <c r="A653" s="4"/>
      <c r="B653" s="4"/>
      <c r="C653" s="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1"/>
    </row>
    <row r="654">
      <c r="A654" s="4"/>
      <c r="B654" s="4"/>
      <c r="C654" s="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1"/>
    </row>
    <row r="655">
      <c r="A655" s="4"/>
      <c r="B655" s="4"/>
      <c r="C655" s="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1"/>
    </row>
    <row r="656">
      <c r="A656" s="4"/>
      <c r="B656" s="4"/>
      <c r="C656" s="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1"/>
    </row>
    <row r="657">
      <c r="A657" s="4"/>
      <c r="B657" s="4"/>
      <c r="C657" s="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1"/>
    </row>
    <row r="658">
      <c r="A658" s="4"/>
      <c r="B658" s="4"/>
      <c r="C658" s="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1"/>
    </row>
    <row r="659">
      <c r="A659" s="4"/>
      <c r="B659" s="4"/>
      <c r="C659" s="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1"/>
    </row>
    <row r="660">
      <c r="A660" s="4"/>
      <c r="B660" s="4"/>
      <c r="C660" s="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1"/>
    </row>
    <row r="661">
      <c r="A661" s="4"/>
      <c r="B661" s="4"/>
      <c r="C661" s="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1"/>
    </row>
    <row r="662">
      <c r="A662" s="4"/>
      <c r="B662" s="4"/>
      <c r="C662" s="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1"/>
    </row>
    <row r="663">
      <c r="A663" s="4"/>
      <c r="B663" s="4"/>
      <c r="C663" s="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1"/>
    </row>
    <row r="664">
      <c r="A664" s="4"/>
      <c r="B664" s="4"/>
      <c r="C664" s="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1"/>
    </row>
    <row r="665">
      <c r="A665" s="4"/>
      <c r="B665" s="4"/>
      <c r="C665" s="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1"/>
    </row>
    <row r="666">
      <c r="A666" s="4"/>
      <c r="B666" s="4"/>
      <c r="C666" s="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1"/>
    </row>
    <row r="667">
      <c r="A667" s="4"/>
      <c r="B667" s="4"/>
      <c r="C667" s="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1"/>
    </row>
    <row r="668">
      <c r="A668" s="4"/>
      <c r="B668" s="4"/>
      <c r="C668" s="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1"/>
    </row>
    <row r="669">
      <c r="A669" s="4"/>
      <c r="B669" s="4"/>
      <c r="C669" s="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1"/>
    </row>
    <row r="670">
      <c r="A670" s="4"/>
      <c r="B670" s="4"/>
      <c r="C670" s="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1"/>
    </row>
    <row r="671">
      <c r="A671" s="4"/>
      <c r="B671" s="4"/>
      <c r="C671" s="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1"/>
    </row>
    <row r="672">
      <c r="A672" s="4"/>
      <c r="B672" s="4"/>
      <c r="C672" s="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1"/>
    </row>
    <row r="673">
      <c r="A673" s="4"/>
      <c r="B673" s="4"/>
      <c r="C673" s="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1"/>
    </row>
    <row r="674">
      <c r="A674" s="4"/>
      <c r="B674" s="4"/>
      <c r="C674" s="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1"/>
    </row>
    <row r="675">
      <c r="A675" s="4"/>
      <c r="B675" s="4"/>
      <c r="C675" s="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1"/>
    </row>
    <row r="676">
      <c r="A676" s="4"/>
      <c r="B676" s="4"/>
      <c r="C676" s="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1"/>
    </row>
    <row r="677">
      <c r="A677" s="4"/>
      <c r="B677" s="4"/>
      <c r="C677" s="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1"/>
    </row>
    <row r="678">
      <c r="A678" s="4"/>
      <c r="B678" s="4"/>
      <c r="C678" s="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1"/>
    </row>
    <row r="679">
      <c r="A679" s="4"/>
      <c r="B679" s="4"/>
      <c r="C679" s="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1"/>
    </row>
    <row r="680">
      <c r="A680" s="4"/>
      <c r="B680" s="4"/>
      <c r="C680" s="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1"/>
    </row>
    <row r="681">
      <c r="A681" s="4"/>
      <c r="B681" s="4"/>
      <c r="C681" s="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1"/>
    </row>
    <row r="682">
      <c r="A682" s="4"/>
      <c r="B682" s="4"/>
      <c r="C682" s="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1"/>
    </row>
    <row r="683">
      <c r="A683" s="4"/>
      <c r="B683" s="4"/>
      <c r="C683" s="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1"/>
    </row>
    <row r="684">
      <c r="A684" s="4"/>
      <c r="B684" s="4"/>
      <c r="C684" s="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1"/>
    </row>
    <row r="685">
      <c r="A685" s="4"/>
      <c r="B685" s="4"/>
      <c r="C685" s="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1"/>
    </row>
    <row r="686">
      <c r="A686" s="4"/>
      <c r="B686" s="4"/>
      <c r="C686" s="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1"/>
    </row>
    <row r="687">
      <c r="A687" s="4"/>
      <c r="B687" s="4"/>
      <c r="C687" s="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1"/>
    </row>
    <row r="688">
      <c r="A688" s="4"/>
      <c r="B688" s="4"/>
      <c r="C688" s="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1"/>
    </row>
    <row r="689">
      <c r="A689" s="4"/>
      <c r="B689" s="4"/>
      <c r="C689" s="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1"/>
    </row>
    <row r="690">
      <c r="A690" s="4"/>
      <c r="B690" s="4"/>
      <c r="C690" s="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1"/>
    </row>
    <row r="691">
      <c r="A691" s="4"/>
      <c r="B691" s="4"/>
      <c r="C691" s="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1"/>
    </row>
    <row r="692">
      <c r="A692" s="4"/>
      <c r="B692" s="4"/>
      <c r="C692" s="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1"/>
    </row>
    <row r="693">
      <c r="A693" s="4"/>
      <c r="B693" s="4"/>
      <c r="C693" s="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1"/>
    </row>
    <row r="694">
      <c r="A694" s="4"/>
      <c r="B694" s="4"/>
      <c r="C694" s="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1"/>
    </row>
    <row r="695">
      <c r="A695" s="4"/>
      <c r="B695" s="4"/>
      <c r="C695" s="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1"/>
    </row>
    <row r="696">
      <c r="A696" s="4"/>
      <c r="B696" s="4"/>
      <c r="C696" s="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1"/>
    </row>
    <row r="697">
      <c r="A697" s="4"/>
      <c r="B697" s="4"/>
      <c r="C697" s="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1"/>
    </row>
    <row r="698">
      <c r="A698" s="4"/>
      <c r="B698" s="4"/>
      <c r="C698" s="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1"/>
    </row>
    <row r="699">
      <c r="A699" s="4"/>
      <c r="B699" s="4"/>
      <c r="C699" s="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1"/>
    </row>
    <row r="700">
      <c r="A700" s="4"/>
      <c r="B700" s="4"/>
      <c r="C700" s="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1"/>
    </row>
    <row r="701">
      <c r="A701" s="4"/>
      <c r="B701" s="4"/>
      <c r="C701" s="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1"/>
    </row>
    <row r="702">
      <c r="A702" s="4"/>
      <c r="B702" s="4"/>
      <c r="C702" s="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1"/>
    </row>
    <row r="703">
      <c r="A703" s="4"/>
      <c r="B703" s="4"/>
      <c r="C703" s="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1"/>
    </row>
    <row r="704">
      <c r="A704" s="4"/>
      <c r="B704" s="4"/>
      <c r="C704" s="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1"/>
    </row>
    <row r="705">
      <c r="A705" s="4"/>
      <c r="B705" s="4"/>
      <c r="C705" s="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1"/>
    </row>
    <row r="706">
      <c r="A706" s="4"/>
      <c r="B706" s="4"/>
      <c r="C706" s="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1"/>
    </row>
    <row r="707">
      <c r="A707" s="4"/>
      <c r="B707" s="4"/>
      <c r="C707" s="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1"/>
    </row>
    <row r="708">
      <c r="A708" s="4"/>
      <c r="B708" s="4"/>
      <c r="C708" s="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1"/>
    </row>
    <row r="709">
      <c r="A709" s="4"/>
      <c r="B709" s="4"/>
      <c r="C709" s="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1"/>
    </row>
    <row r="710">
      <c r="A710" s="4"/>
      <c r="B710" s="4"/>
      <c r="C710" s="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1"/>
    </row>
    <row r="711">
      <c r="A711" s="4"/>
      <c r="B711" s="4"/>
      <c r="C711" s="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1"/>
    </row>
    <row r="712">
      <c r="A712" s="4"/>
      <c r="B712" s="4"/>
      <c r="C712" s="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1"/>
    </row>
    <row r="713">
      <c r="A713" s="4"/>
      <c r="B713" s="4"/>
      <c r="C713" s="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1"/>
    </row>
    <row r="714">
      <c r="A714" s="4"/>
      <c r="B714" s="4"/>
      <c r="C714" s="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1"/>
    </row>
    <row r="715">
      <c r="A715" s="4"/>
      <c r="B715" s="4"/>
      <c r="C715" s="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1"/>
    </row>
    <row r="716">
      <c r="A716" s="4"/>
      <c r="B716" s="4"/>
      <c r="C716" s="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1"/>
    </row>
    <row r="717">
      <c r="A717" s="4"/>
      <c r="B717" s="4"/>
      <c r="C717" s="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1"/>
    </row>
    <row r="718">
      <c r="A718" s="4"/>
      <c r="B718" s="4"/>
      <c r="C718" s="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1"/>
    </row>
    <row r="719">
      <c r="A719" s="4"/>
      <c r="B719" s="4"/>
      <c r="C719" s="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1"/>
    </row>
    <row r="720">
      <c r="A720" s="4"/>
      <c r="B720" s="4"/>
      <c r="C720" s="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1"/>
    </row>
    <row r="721">
      <c r="A721" s="4"/>
      <c r="B721" s="4"/>
      <c r="C721" s="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1"/>
    </row>
    <row r="722">
      <c r="A722" s="4"/>
      <c r="B722" s="4"/>
      <c r="C722" s="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1"/>
    </row>
    <row r="723">
      <c r="A723" s="4"/>
      <c r="B723" s="4"/>
      <c r="C723" s="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1"/>
    </row>
    <row r="724">
      <c r="A724" s="4"/>
      <c r="B724" s="4"/>
      <c r="C724" s="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1"/>
    </row>
    <row r="725">
      <c r="A725" s="4"/>
      <c r="B725" s="4"/>
      <c r="C725" s="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1"/>
    </row>
    <row r="726">
      <c r="A726" s="4"/>
      <c r="B726" s="4"/>
      <c r="C726" s="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1"/>
    </row>
    <row r="727">
      <c r="A727" s="4"/>
      <c r="B727" s="4"/>
      <c r="C727" s="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1"/>
    </row>
    <row r="728">
      <c r="A728" s="4"/>
      <c r="B728" s="4"/>
      <c r="C728" s="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1"/>
    </row>
    <row r="729">
      <c r="A729" s="4"/>
      <c r="B729" s="4"/>
      <c r="C729" s="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1"/>
    </row>
    <row r="730">
      <c r="A730" s="4"/>
      <c r="B730" s="4"/>
      <c r="C730" s="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1"/>
    </row>
    <row r="731">
      <c r="A731" s="4"/>
      <c r="B731" s="4"/>
      <c r="C731" s="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1"/>
    </row>
    <row r="732">
      <c r="A732" s="4"/>
      <c r="B732" s="4"/>
      <c r="C732" s="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1"/>
    </row>
    <row r="733">
      <c r="A733" s="4"/>
      <c r="B733" s="4"/>
      <c r="C733" s="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1"/>
    </row>
    <row r="734">
      <c r="A734" s="4"/>
      <c r="B734" s="4"/>
      <c r="C734" s="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1"/>
    </row>
    <row r="735">
      <c r="A735" s="4"/>
      <c r="B735" s="4"/>
      <c r="C735" s="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1"/>
    </row>
    <row r="736">
      <c r="A736" s="4"/>
      <c r="B736" s="4"/>
      <c r="C736" s="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1"/>
    </row>
    <row r="737">
      <c r="A737" s="4"/>
      <c r="B737" s="4"/>
      <c r="C737" s="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1"/>
    </row>
    <row r="738">
      <c r="A738" s="4"/>
      <c r="B738" s="4"/>
      <c r="C738" s="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1"/>
    </row>
    <row r="739">
      <c r="A739" s="4"/>
      <c r="B739" s="4"/>
      <c r="C739" s="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1"/>
    </row>
    <row r="740">
      <c r="A740" s="4"/>
      <c r="B740" s="4"/>
      <c r="C740" s="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1"/>
    </row>
    <row r="741">
      <c r="A741" s="4"/>
      <c r="B741" s="4"/>
      <c r="C741" s="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1"/>
    </row>
    <row r="742">
      <c r="A742" s="4"/>
      <c r="B742" s="4"/>
      <c r="C742" s="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1"/>
    </row>
    <row r="743">
      <c r="A743" s="4"/>
      <c r="B743" s="4"/>
      <c r="C743" s="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1"/>
    </row>
    <row r="744">
      <c r="A744" s="4"/>
      <c r="B744" s="4"/>
      <c r="C744" s="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1"/>
    </row>
    <row r="745">
      <c r="A745" s="4"/>
      <c r="B745" s="4"/>
      <c r="C745" s="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1"/>
    </row>
    <row r="746">
      <c r="A746" s="4"/>
      <c r="B746" s="4"/>
      <c r="C746" s="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1"/>
    </row>
    <row r="747">
      <c r="A747" s="4"/>
      <c r="B747" s="4"/>
      <c r="C747" s="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1"/>
    </row>
    <row r="748">
      <c r="A748" s="4"/>
      <c r="B748" s="4"/>
      <c r="C748" s="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1"/>
    </row>
    <row r="749">
      <c r="A749" s="4"/>
      <c r="B749" s="4"/>
      <c r="C749" s="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1"/>
    </row>
    <row r="750">
      <c r="A750" s="4"/>
      <c r="B750" s="4"/>
      <c r="C750" s="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"/>
    </row>
    <row r="751">
      <c r="A751" s="4"/>
      <c r="B751" s="4"/>
      <c r="C751" s="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1"/>
    </row>
    <row r="752">
      <c r="A752" s="4"/>
      <c r="B752" s="4"/>
      <c r="C752" s="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1"/>
    </row>
    <row r="753">
      <c r="A753" s="4"/>
      <c r="B753" s="4"/>
      <c r="C753" s="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1"/>
    </row>
    <row r="754">
      <c r="A754" s="4"/>
      <c r="B754" s="4"/>
      <c r="C754" s="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1"/>
    </row>
    <row r="755">
      <c r="A755" s="4"/>
      <c r="B755" s="4"/>
      <c r="C755" s="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1"/>
    </row>
    <row r="756">
      <c r="A756" s="4"/>
      <c r="B756" s="4"/>
      <c r="C756" s="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1"/>
    </row>
    <row r="757">
      <c r="A757" s="4"/>
      <c r="B757" s="4"/>
      <c r="C757" s="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"/>
    </row>
    <row r="758">
      <c r="A758" s="4"/>
      <c r="B758" s="4"/>
      <c r="C758" s="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1"/>
    </row>
    <row r="759">
      <c r="A759" s="4"/>
      <c r="B759" s="4"/>
      <c r="C759" s="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1"/>
    </row>
    <row r="760">
      <c r="A760" s="4"/>
      <c r="B760" s="4"/>
      <c r="C760" s="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1"/>
    </row>
    <row r="761">
      <c r="A761" s="4"/>
      <c r="B761" s="4"/>
      <c r="C761" s="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1"/>
    </row>
    <row r="762">
      <c r="A762" s="4"/>
      <c r="B762" s="4"/>
      <c r="C762" s="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1"/>
    </row>
    <row r="763">
      <c r="A763" s="4"/>
      <c r="B763" s="4"/>
      <c r="C763" s="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1"/>
    </row>
    <row r="764">
      <c r="A764" s="4"/>
      <c r="B764" s="4"/>
      <c r="C764" s="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1"/>
    </row>
    <row r="765">
      <c r="A765" s="4"/>
      <c r="B765" s="4"/>
      <c r="C765" s="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1"/>
    </row>
    <row r="766">
      <c r="A766" s="4"/>
      <c r="B766" s="4"/>
      <c r="C766" s="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1"/>
    </row>
    <row r="767">
      <c r="A767" s="4"/>
      <c r="B767" s="4"/>
      <c r="C767" s="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1"/>
    </row>
    <row r="768">
      <c r="A768" s="4"/>
      <c r="B768" s="4"/>
      <c r="C768" s="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1"/>
    </row>
    <row r="769">
      <c r="A769" s="4"/>
      <c r="B769" s="4"/>
      <c r="C769" s="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1"/>
    </row>
    <row r="770">
      <c r="A770" s="4"/>
      <c r="B770" s="4"/>
      <c r="C770" s="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1"/>
    </row>
    <row r="771">
      <c r="A771" s="4"/>
      <c r="B771" s="4"/>
      <c r="C771" s="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1"/>
    </row>
    <row r="772">
      <c r="A772" s="4"/>
      <c r="B772" s="4"/>
      <c r="C772" s="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1"/>
    </row>
    <row r="773">
      <c r="A773" s="4"/>
      <c r="B773" s="4"/>
      <c r="C773" s="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1"/>
    </row>
    <row r="774">
      <c r="A774" s="4"/>
      <c r="B774" s="4"/>
      <c r="C774" s="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1"/>
    </row>
    <row r="775">
      <c r="A775" s="4"/>
      <c r="B775" s="4"/>
      <c r="C775" s="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1"/>
    </row>
    <row r="776">
      <c r="A776" s="4"/>
      <c r="B776" s="4"/>
      <c r="C776" s="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1"/>
    </row>
    <row r="777">
      <c r="A777" s="4"/>
      <c r="B777" s="4"/>
      <c r="C777" s="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1"/>
    </row>
    <row r="778">
      <c r="A778" s="4"/>
      <c r="B778" s="4"/>
      <c r="C778" s="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1"/>
    </row>
    <row r="779">
      <c r="A779" s="4"/>
      <c r="B779" s="4"/>
      <c r="C779" s="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1"/>
    </row>
    <row r="780">
      <c r="A780" s="4"/>
      <c r="B780" s="4"/>
      <c r="C780" s="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1"/>
    </row>
    <row r="781">
      <c r="A781" s="4"/>
      <c r="B781" s="4"/>
      <c r="C781" s="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1"/>
    </row>
    <row r="782">
      <c r="A782" s="4"/>
      <c r="B782" s="4"/>
      <c r="C782" s="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1"/>
    </row>
    <row r="783">
      <c r="A783" s="4"/>
      <c r="B783" s="4"/>
      <c r="C783" s="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1"/>
    </row>
    <row r="784">
      <c r="A784" s="4"/>
      <c r="B784" s="4"/>
      <c r="C784" s="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1"/>
    </row>
    <row r="785">
      <c r="A785" s="4"/>
      <c r="B785" s="4"/>
      <c r="C785" s="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1"/>
    </row>
    <row r="786">
      <c r="A786" s="4"/>
      <c r="B786" s="4"/>
      <c r="C786" s="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1"/>
    </row>
    <row r="787">
      <c r="A787" s="4"/>
      <c r="B787" s="4"/>
      <c r="C787" s="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1"/>
    </row>
    <row r="788">
      <c r="A788" s="4"/>
      <c r="B788" s="4"/>
      <c r="C788" s="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1"/>
    </row>
    <row r="789">
      <c r="A789" s="4"/>
      <c r="B789" s="4"/>
      <c r="C789" s="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1"/>
    </row>
    <row r="790">
      <c r="A790" s="4"/>
      <c r="B790" s="4"/>
      <c r="C790" s="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1"/>
    </row>
    <row r="791">
      <c r="A791" s="4"/>
      <c r="B791" s="4"/>
      <c r="C791" s="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1"/>
    </row>
    <row r="792">
      <c r="A792" s="4"/>
      <c r="B792" s="4"/>
      <c r="C792" s="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1"/>
    </row>
    <row r="793">
      <c r="A793" s="4"/>
      <c r="B793" s="4"/>
      <c r="C793" s="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1"/>
    </row>
    <row r="794">
      <c r="A794" s="4"/>
      <c r="B794" s="4"/>
      <c r="C794" s="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1"/>
    </row>
    <row r="795">
      <c r="A795" s="4"/>
      <c r="B795" s="4"/>
      <c r="C795" s="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1"/>
    </row>
    <row r="796">
      <c r="A796" s="4"/>
      <c r="B796" s="4"/>
      <c r="C796" s="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1"/>
    </row>
    <row r="797">
      <c r="A797" s="4"/>
      <c r="B797" s="4"/>
      <c r="C797" s="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1"/>
    </row>
    <row r="798">
      <c r="A798" s="4"/>
      <c r="B798" s="4"/>
      <c r="C798" s="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1"/>
    </row>
    <row r="799">
      <c r="A799" s="4"/>
      <c r="B799" s="4"/>
      <c r="C799" s="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1"/>
    </row>
    <row r="800">
      <c r="A800" s="4"/>
      <c r="B800" s="4"/>
      <c r="C800" s="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1"/>
    </row>
    <row r="801">
      <c r="A801" s="4"/>
      <c r="B801" s="4"/>
      <c r="C801" s="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1"/>
    </row>
    <row r="802">
      <c r="A802" s="4"/>
      <c r="B802" s="4"/>
      <c r="C802" s="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1"/>
    </row>
    <row r="803">
      <c r="A803" s="4"/>
      <c r="B803" s="4"/>
      <c r="C803" s="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1"/>
    </row>
    <row r="804">
      <c r="A804" s="4"/>
      <c r="B804" s="4"/>
      <c r="C804" s="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1"/>
    </row>
    <row r="805">
      <c r="A805" s="4"/>
      <c r="B805" s="4"/>
      <c r="C805" s="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1"/>
    </row>
    <row r="806">
      <c r="A806" s="4"/>
      <c r="B806" s="4"/>
      <c r="C806" s="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1"/>
    </row>
    <row r="807">
      <c r="A807" s="4"/>
      <c r="B807" s="4"/>
      <c r="C807" s="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1"/>
    </row>
    <row r="808">
      <c r="A808" s="4"/>
      <c r="B808" s="4"/>
      <c r="C808" s="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1"/>
    </row>
    <row r="809">
      <c r="A809" s="4"/>
      <c r="B809" s="4"/>
      <c r="C809" s="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1"/>
    </row>
    <row r="810">
      <c r="A810" s="4"/>
      <c r="B810" s="4"/>
      <c r="C810" s="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1"/>
    </row>
    <row r="811">
      <c r="A811" s="4"/>
      <c r="B811" s="4"/>
      <c r="C811" s="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1"/>
    </row>
    <row r="812">
      <c r="A812" s="4"/>
      <c r="B812" s="4"/>
      <c r="C812" s="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1"/>
    </row>
    <row r="813">
      <c r="A813" s="4"/>
      <c r="B813" s="4"/>
      <c r="C813" s="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1"/>
    </row>
    <row r="814">
      <c r="A814" s="4"/>
      <c r="B814" s="4"/>
      <c r="C814" s="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1"/>
    </row>
    <row r="815">
      <c r="A815" s="4"/>
      <c r="B815" s="4"/>
      <c r="C815" s="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1"/>
    </row>
    <row r="816">
      <c r="A816" s="4"/>
      <c r="B816" s="4"/>
      <c r="C816" s="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1"/>
    </row>
    <row r="817">
      <c r="A817" s="4"/>
      <c r="B817" s="4"/>
      <c r="C817" s="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1"/>
    </row>
    <row r="818">
      <c r="A818" s="4"/>
      <c r="B818" s="4"/>
      <c r="C818" s="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1"/>
    </row>
    <row r="819">
      <c r="A819" s="4"/>
      <c r="B819" s="4"/>
      <c r="C819" s="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1"/>
    </row>
    <row r="820">
      <c r="A820" s="4"/>
      <c r="B820" s="4"/>
      <c r="C820" s="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1"/>
    </row>
    <row r="821">
      <c r="A821" s="4"/>
      <c r="B821" s="4"/>
      <c r="C821" s="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1"/>
    </row>
    <row r="822">
      <c r="A822" s="4"/>
      <c r="B822" s="4"/>
      <c r="C822" s="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1"/>
    </row>
    <row r="823">
      <c r="A823" s="4"/>
      <c r="B823" s="4"/>
      <c r="C823" s="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1"/>
    </row>
    <row r="824">
      <c r="A824" s="4"/>
      <c r="B824" s="4"/>
      <c r="C824" s="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1"/>
    </row>
    <row r="825">
      <c r="A825" s="4"/>
      <c r="B825" s="4"/>
      <c r="C825" s="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1"/>
    </row>
    <row r="826">
      <c r="A826" s="4"/>
      <c r="B826" s="4"/>
      <c r="C826" s="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1"/>
    </row>
    <row r="827">
      <c r="A827" s="4"/>
      <c r="B827" s="4"/>
      <c r="C827" s="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1"/>
    </row>
    <row r="828">
      <c r="A828" s="4"/>
      <c r="B828" s="4"/>
      <c r="C828" s="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1"/>
    </row>
    <row r="829">
      <c r="A829" s="4"/>
      <c r="B829" s="4"/>
      <c r="C829" s="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1"/>
    </row>
    <row r="830">
      <c r="A830" s="4"/>
      <c r="B830" s="4"/>
      <c r="C830" s="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1"/>
    </row>
    <row r="831">
      <c r="A831" s="4"/>
      <c r="B831" s="4"/>
      <c r="C831" s="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1"/>
    </row>
    <row r="832">
      <c r="A832" s="4"/>
      <c r="B832" s="4"/>
      <c r="C832" s="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1"/>
    </row>
    <row r="833">
      <c r="A833" s="4"/>
      <c r="B833" s="4"/>
      <c r="C833" s="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1"/>
    </row>
    <row r="834">
      <c r="A834" s="4"/>
      <c r="B834" s="4"/>
      <c r="C834" s="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1"/>
    </row>
    <row r="835">
      <c r="A835" s="4"/>
      <c r="B835" s="4"/>
      <c r="C835" s="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1"/>
    </row>
    <row r="836">
      <c r="A836" s="4"/>
      <c r="B836" s="4"/>
      <c r="C836" s="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1"/>
    </row>
    <row r="837">
      <c r="A837" s="4"/>
      <c r="B837" s="4"/>
      <c r="C837" s="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1"/>
    </row>
    <row r="838">
      <c r="A838" s="4"/>
      <c r="B838" s="4"/>
      <c r="C838" s="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1"/>
    </row>
    <row r="839">
      <c r="A839" s="4"/>
      <c r="B839" s="4"/>
      <c r="C839" s="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1"/>
    </row>
    <row r="840">
      <c r="A840" s="4"/>
      <c r="B840" s="4"/>
      <c r="C840" s="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1"/>
    </row>
    <row r="841">
      <c r="A841" s="4"/>
      <c r="B841" s="4"/>
      <c r="C841" s="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1"/>
    </row>
    <row r="842">
      <c r="A842" s="4"/>
      <c r="B842" s="4"/>
      <c r="C842" s="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1"/>
    </row>
    <row r="843">
      <c r="A843" s="4"/>
      <c r="B843" s="4"/>
      <c r="C843" s="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1"/>
    </row>
    <row r="844">
      <c r="A844" s="4"/>
      <c r="B844" s="4"/>
      <c r="C844" s="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1"/>
    </row>
    <row r="845">
      <c r="A845" s="4"/>
      <c r="B845" s="4"/>
      <c r="C845" s="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1"/>
    </row>
    <row r="846">
      <c r="A846" s="4"/>
      <c r="B846" s="4"/>
      <c r="C846" s="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1"/>
    </row>
    <row r="847">
      <c r="A847" s="4"/>
      <c r="B847" s="4"/>
      <c r="C847" s="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1"/>
    </row>
    <row r="848">
      <c r="A848" s="4"/>
      <c r="B848" s="4"/>
      <c r="C848" s="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1"/>
    </row>
    <row r="849">
      <c r="A849" s="4"/>
      <c r="B849" s="4"/>
      <c r="C849" s="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1"/>
    </row>
    <row r="850">
      <c r="A850" s="4"/>
      <c r="B850" s="4"/>
      <c r="C850" s="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1"/>
    </row>
    <row r="851">
      <c r="A851" s="4"/>
      <c r="B851" s="4"/>
      <c r="C851" s="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1"/>
    </row>
    <row r="852">
      <c r="A852" s="4"/>
      <c r="B852" s="4"/>
      <c r="C852" s="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1"/>
    </row>
    <row r="853">
      <c r="A853" s="4"/>
      <c r="B853" s="4"/>
      <c r="C853" s="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1"/>
    </row>
    <row r="854">
      <c r="A854" s="4"/>
      <c r="B854" s="4"/>
      <c r="C854" s="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1"/>
    </row>
    <row r="855">
      <c r="A855" s="4"/>
      <c r="B855" s="4"/>
      <c r="C855" s="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1"/>
    </row>
    <row r="856">
      <c r="A856" s="4"/>
      <c r="B856" s="4"/>
      <c r="C856" s="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1"/>
    </row>
    <row r="857">
      <c r="A857" s="4"/>
      <c r="B857" s="4"/>
      <c r="C857" s="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1"/>
    </row>
    <row r="858">
      <c r="A858" s="4"/>
      <c r="B858" s="4"/>
      <c r="C858" s="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1"/>
    </row>
    <row r="859">
      <c r="A859" s="4"/>
      <c r="B859" s="4"/>
      <c r="C859" s="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1"/>
    </row>
    <row r="860">
      <c r="A860" s="4"/>
      <c r="B860" s="4"/>
      <c r="C860" s="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1"/>
    </row>
    <row r="861">
      <c r="A861" s="4"/>
      <c r="B861" s="4"/>
      <c r="C861" s="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1"/>
    </row>
    <row r="862">
      <c r="A862" s="4"/>
      <c r="B862" s="4"/>
      <c r="C862" s="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1"/>
    </row>
    <row r="863">
      <c r="A863" s="4"/>
      <c r="B863" s="4"/>
      <c r="C863" s="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1"/>
    </row>
    <row r="864">
      <c r="A864" s="4"/>
      <c r="B864" s="4"/>
      <c r="C864" s="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1"/>
    </row>
    <row r="865">
      <c r="A865" s="4"/>
      <c r="B865" s="4"/>
      <c r="C865" s="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1"/>
    </row>
    <row r="866">
      <c r="A866" s="4"/>
      <c r="B866" s="4"/>
      <c r="C866" s="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1"/>
    </row>
    <row r="867">
      <c r="A867" s="4"/>
      <c r="B867" s="4"/>
      <c r="C867" s="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1"/>
    </row>
    <row r="868">
      <c r="A868" s="4"/>
      <c r="B868" s="4"/>
      <c r="C868" s="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1"/>
    </row>
    <row r="869">
      <c r="A869" s="4"/>
      <c r="B869" s="4"/>
      <c r="C869" s="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1"/>
    </row>
    <row r="870">
      <c r="A870" s="4"/>
      <c r="B870" s="4"/>
      <c r="C870" s="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1"/>
    </row>
    <row r="871">
      <c r="A871" s="4"/>
      <c r="B871" s="4"/>
      <c r="C871" s="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1"/>
    </row>
    <row r="872">
      <c r="A872" s="4"/>
      <c r="B872" s="4"/>
      <c r="C872" s="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1"/>
    </row>
    <row r="873">
      <c r="A873" s="4"/>
      <c r="B873" s="4"/>
      <c r="C873" s="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1"/>
    </row>
    <row r="874">
      <c r="A874" s="4"/>
      <c r="B874" s="4"/>
      <c r="C874" s="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1"/>
    </row>
    <row r="875">
      <c r="A875" s="4"/>
      <c r="B875" s="4"/>
      <c r="C875" s="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1"/>
    </row>
    <row r="876">
      <c r="A876" s="4"/>
      <c r="B876" s="4"/>
      <c r="C876" s="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1"/>
    </row>
    <row r="877">
      <c r="A877" s="4"/>
      <c r="B877" s="4"/>
      <c r="C877" s="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1"/>
    </row>
    <row r="878">
      <c r="A878" s="4"/>
      <c r="B878" s="4"/>
      <c r="C878" s="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1"/>
    </row>
    <row r="879">
      <c r="A879" s="4"/>
      <c r="B879" s="4"/>
      <c r="C879" s="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1"/>
    </row>
    <row r="880">
      <c r="A880" s="4"/>
      <c r="B880" s="4"/>
      <c r="C880" s="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1"/>
    </row>
    <row r="881">
      <c r="A881" s="4"/>
      <c r="B881" s="4"/>
      <c r="C881" s="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1"/>
    </row>
    <row r="882">
      <c r="A882" s="4"/>
      <c r="B882" s="4"/>
      <c r="C882" s="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1"/>
    </row>
    <row r="883">
      <c r="A883" s="4"/>
      <c r="B883" s="4"/>
      <c r="C883" s="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1"/>
    </row>
    <row r="884">
      <c r="A884" s="4"/>
      <c r="B884" s="4"/>
      <c r="C884" s="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1"/>
    </row>
    <row r="885">
      <c r="A885" s="4"/>
      <c r="B885" s="4"/>
      <c r="C885" s="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1"/>
    </row>
    <row r="886">
      <c r="A886" s="4"/>
      <c r="B886" s="4"/>
      <c r="C886" s="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1"/>
    </row>
    <row r="887">
      <c r="A887" s="4"/>
      <c r="B887" s="4"/>
      <c r="C887" s="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1"/>
    </row>
    <row r="888">
      <c r="A888" s="4"/>
      <c r="B888" s="4"/>
      <c r="C888" s="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1"/>
    </row>
    <row r="889">
      <c r="A889" s="4"/>
      <c r="B889" s="4"/>
      <c r="C889" s="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1"/>
    </row>
    <row r="890">
      <c r="A890" s="4"/>
      <c r="B890" s="4"/>
      <c r="C890" s="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1"/>
    </row>
    <row r="891">
      <c r="A891" s="4"/>
      <c r="B891" s="4"/>
      <c r="C891" s="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1"/>
    </row>
    <row r="892">
      <c r="A892" s="4"/>
      <c r="B892" s="4"/>
      <c r="C892" s="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1"/>
    </row>
    <row r="893">
      <c r="A893" s="4"/>
      <c r="B893" s="4"/>
      <c r="C893" s="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1"/>
    </row>
    <row r="894">
      <c r="A894" s="4"/>
      <c r="B894" s="4"/>
      <c r="C894" s="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1"/>
    </row>
    <row r="895">
      <c r="A895" s="4"/>
      <c r="B895" s="4"/>
      <c r="C895" s="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1"/>
    </row>
    <row r="896">
      <c r="A896" s="4"/>
      <c r="B896" s="4"/>
      <c r="C896" s="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1"/>
    </row>
    <row r="897">
      <c r="A897" s="4"/>
      <c r="B897" s="4"/>
      <c r="C897" s="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1"/>
    </row>
    <row r="898">
      <c r="A898" s="4"/>
      <c r="B898" s="4"/>
      <c r="C898" s="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1"/>
    </row>
    <row r="899">
      <c r="A899" s="4"/>
      <c r="B899" s="4"/>
      <c r="C899" s="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1"/>
    </row>
    <row r="900">
      <c r="A900" s="4"/>
      <c r="B900" s="4"/>
      <c r="C900" s="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1"/>
    </row>
    <row r="901">
      <c r="A901" s="4"/>
      <c r="B901" s="4"/>
      <c r="C901" s="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1"/>
    </row>
    <row r="902">
      <c r="A902" s="4"/>
      <c r="B902" s="4"/>
      <c r="C902" s="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1"/>
    </row>
    <row r="903">
      <c r="A903" s="4"/>
      <c r="B903" s="4"/>
      <c r="C903" s="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1"/>
    </row>
    <row r="904">
      <c r="A904" s="4"/>
      <c r="B904" s="4"/>
      <c r="C904" s="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1"/>
    </row>
    <row r="905">
      <c r="A905" s="4"/>
      <c r="B905" s="4"/>
      <c r="C905" s="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1"/>
    </row>
    <row r="906">
      <c r="A906" s="4"/>
      <c r="B906" s="4"/>
      <c r="C906" s="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1"/>
    </row>
    <row r="907">
      <c r="A907" s="4"/>
      <c r="B907" s="4"/>
      <c r="C907" s="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1"/>
    </row>
    <row r="908">
      <c r="A908" s="4"/>
      <c r="B908" s="4"/>
      <c r="C908" s="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1"/>
    </row>
    <row r="909">
      <c r="A909" s="4"/>
      <c r="B909" s="4"/>
      <c r="C909" s="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1"/>
    </row>
    <row r="910">
      <c r="A910" s="4"/>
      <c r="B910" s="4"/>
      <c r="C910" s="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1"/>
    </row>
    <row r="911">
      <c r="A911" s="4"/>
      <c r="B911" s="4"/>
      <c r="C911" s="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1"/>
    </row>
    <row r="912">
      <c r="A912" s="4"/>
      <c r="B912" s="4"/>
      <c r="C912" s="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1"/>
    </row>
    <row r="913">
      <c r="A913" s="4"/>
      <c r="B913" s="4"/>
      <c r="C913" s="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1"/>
    </row>
    <row r="914">
      <c r="A914" s="4"/>
      <c r="B914" s="4"/>
      <c r="C914" s="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1"/>
    </row>
    <row r="915">
      <c r="A915" s="4"/>
      <c r="B915" s="4"/>
      <c r="C915" s="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1"/>
    </row>
    <row r="916">
      <c r="A916" s="4"/>
      <c r="B916" s="4"/>
      <c r="C916" s="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1"/>
    </row>
    <row r="917">
      <c r="A917" s="4"/>
      <c r="B917" s="4"/>
      <c r="C917" s="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1"/>
    </row>
    <row r="918">
      <c r="A918" s="4"/>
      <c r="B918" s="4"/>
      <c r="C918" s="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1"/>
    </row>
    <row r="919">
      <c r="A919" s="4"/>
      <c r="B919" s="4"/>
      <c r="C919" s="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1"/>
    </row>
    <row r="920">
      <c r="A920" s="4"/>
      <c r="B920" s="4"/>
      <c r="C920" s="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1"/>
    </row>
    <row r="921">
      <c r="A921" s="4"/>
      <c r="B921" s="4"/>
      <c r="C921" s="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1"/>
    </row>
    <row r="922">
      <c r="A922" s="4"/>
      <c r="B922" s="4"/>
      <c r="C922" s="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1"/>
    </row>
    <row r="923">
      <c r="A923" s="4"/>
      <c r="B923" s="4"/>
      <c r="C923" s="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1"/>
    </row>
    <row r="924">
      <c r="A924" s="4"/>
      <c r="B924" s="4"/>
      <c r="C924" s="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1"/>
    </row>
    <row r="925">
      <c r="A925" s="4"/>
      <c r="B925" s="4"/>
      <c r="C925" s="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1"/>
    </row>
    <row r="926">
      <c r="A926" s="4"/>
      <c r="B926" s="4"/>
      <c r="C926" s="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1"/>
    </row>
    <row r="927">
      <c r="A927" s="4"/>
      <c r="B927" s="4"/>
      <c r="C927" s="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1"/>
    </row>
    <row r="928">
      <c r="A928" s="4"/>
      <c r="B928" s="4"/>
      <c r="C928" s="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1"/>
    </row>
    <row r="929">
      <c r="A929" s="4"/>
      <c r="B929" s="4"/>
      <c r="C929" s="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"/>
    </row>
    <row r="930">
      <c r="A930" s="4"/>
      <c r="B930" s="4"/>
      <c r="C930" s="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"/>
    </row>
    <row r="931">
      <c r="A931" s="4"/>
      <c r="B931" s="4"/>
      <c r="C931" s="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1"/>
    </row>
    <row r="932">
      <c r="A932" s="4"/>
      <c r="B932" s="4"/>
      <c r="C932" s="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1"/>
    </row>
    <row r="933">
      <c r="A933" s="4"/>
      <c r="B933" s="4"/>
      <c r="C933" s="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1"/>
    </row>
    <row r="934">
      <c r="A934" s="4"/>
      <c r="B934" s="4"/>
      <c r="C934" s="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1"/>
    </row>
    <row r="935">
      <c r="A935" s="4"/>
      <c r="B935" s="4"/>
      <c r="C935" s="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1"/>
    </row>
    <row r="936">
      <c r="A936" s="4"/>
      <c r="B936" s="4"/>
      <c r="C936" s="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1"/>
    </row>
    <row r="937">
      <c r="A937" s="4"/>
      <c r="B937" s="4"/>
      <c r="C937" s="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1"/>
    </row>
    <row r="938">
      <c r="A938" s="4"/>
      <c r="B938" s="4"/>
      <c r="C938" s="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1"/>
    </row>
    <row r="939">
      <c r="A939" s="4"/>
      <c r="B939" s="4"/>
      <c r="C939" s="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1"/>
    </row>
    <row r="940">
      <c r="A940" s="4"/>
      <c r="B940" s="4"/>
      <c r="C940" s="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1"/>
    </row>
    <row r="941">
      <c r="A941" s="4"/>
      <c r="B941" s="4"/>
      <c r="C941" s="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1"/>
    </row>
    <row r="942">
      <c r="A942" s="4"/>
      <c r="B942" s="4"/>
      <c r="C942" s="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1"/>
    </row>
    <row r="943">
      <c r="A943" s="4"/>
      <c r="B943" s="4"/>
      <c r="C943" s="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1"/>
    </row>
    <row r="944">
      <c r="A944" s="4"/>
      <c r="B944" s="4"/>
      <c r="C944" s="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1"/>
    </row>
    <row r="945">
      <c r="A945" s="4"/>
      <c r="B945" s="4"/>
      <c r="C945" s="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1"/>
    </row>
    <row r="946">
      <c r="A946" s="4"/>
      <c r="B946" s="4"/>
      <c r="C946" s="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1"/>
    </row>
    <row r="947">
      <c r="A947" s="4"/>
      <c r="B947" s="4"/>
      <c r="C947" s="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1"/>
    </row>
    <row r="948">
      <c r="A948" s="4"/>
      <c r="B948" s="4"/>
      <c r="C948" s="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1"/>
    </row>
    <row r="949">
      <c r="A949" s="4"/>
      <c r="B949" s="4"/>
      <c r="C949" s="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1"/>
    </row>
    <row r="950">
      <c r="A950" s="4"/>
      <c r="B950" s="4"/>
      <c r="C950" s="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1"/>
    </row>
    <row r="951">
      <c r="A951" s="4"/>
      <c r="B951" s="4"/>
      <c r="C951" s="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1"/>
    </row>
    <row r="952">
      <c r="A952" s="4"/>
      <c r="B952" s="4"/>
      <c r="C952" s="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1"/>
    </row>
    <row r="953">
      <c r="A953" s="4"/>
      <c r="B953" s="4"/>
      <c r="C953" s="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1"/>
    </row>
    <row r="954">
      <c r="A954" s="4"/>
      <c r="B954" s="4"/>
      <c r="C954" s="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1"/>
    </row>
    <row r="955">
      <c r="A955" s="4"/>
      <c r="B955" s="4"/>
      <c r="C955" s="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1"/>
    </row>
    <row r="956">
      <c r="A956" s="4"/>
      <c r="B956" s="4"/>
      <c r="C956" s="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1"/>
    </row>
    <row r="957">
      <c r="A957" s="4"/>
      <c r="B957" s="4"/>
      <c r="C957" s="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1"/>
    </row>
    <row r="958">
      <c r="A958" s="4"/>
      <c r="B958" s="4"/>
      <c r="C958" s="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1"/>
    </row>
    <row r="959">
      <c r="A959" s="4"/>
      <c r="B959" s="4"/>
      <c r="C959" s="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1"/>
    </row>
    <row r="960">
      <c r="A960" s="4"/>
      <c r="B960" s="4"/>
      <c r="C960" s="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1"/>
    </row>
    <row r="961">
      <c r="A961" s="4"/>
      <c r="B961" s="4"/>
      <c r="C961" s="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1"/>
    </row>
    <row r="962">
      <c r="A962" s="4"/>
      <c r="B962" s="4"/>
      <c r="C962" s="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1"/>
    </row>
    <row r="963">
      <c r="A963" s="4"/>
      <c r="B963" s="4"/>
      <c r="C963" s="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1"/>
    </row>
    <row r="964">
      <c r="A964" s="4"/>
      <c r="B964" s="4"/>
      <c r="C964" s="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1"/>
    </row>
    <row r="965">
      <c r="A965" s="4"/>
      <c r="B965" s="4"/>
      <c r="C965" s="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1"/>
    </row>
    <row r="966">
      <c r="A966" s="4"/>
      <c r="B966" s="4"/>
      <c r="C966" s="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1"/>
    </row>
    <row r="967">
      <c r="A967" s="4"/>
      <c r="B967" s="4"/>
      <c r="C967" s="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1"/>
    </row>
    <row r="968">
      <c r="A968" s="4"/>
      <c r="B968" s="4"/>
      <c r="C968" s="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1"/>
    </row>
    <row r="969">
      <c r="A969" s="4"/>
      <c r="B969" s="4"/>
      <c r="C969" s="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1"/>
    </row>
    <row r="970">
      <c r="A970" s="4"/>
      <c r="B970" s="4"/>
      <c r="C970" s="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1"/>
    </row>
    <row r="971">
      <c r="A971" s="4"/>
      <c r="B971" s="4"/>
      <c r="C971" s="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1"/>
    </row>
    <row r="972">
      <c r="A972" s="4"/>
      <c r="B972" s="4"/>
      <c r="C972" s="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1"/>
    </row>
    <row r="973">
      <c r="A973" s="4"/>
      <c r="B973" s="4"/>
      <c r="C973" s="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1"/>
    </row>
    <row r="974">
      <c r="A974" s="4"/>
      <c r="B974" s="4"/>
      <c r="C974" s="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1"/>
    </row>
    <row r="975">
      <c r="A975" s="4"/>
      <c r="B975" s="4"/>
      <c r="C975" s="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1"/>
    </row>
    <row r="976">
      <c r="A976" s="4"/>
      <c r="B976" s="4"/>
      <c r="C976" s="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1"/>
    </row>
    <row r="977">
      <c r="A977" s="4"/>
      <c r="B977" s="4"/>
      <c r="C977" s="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1"/>
    </row>
    <row r="978">
      <c r="A978" s="4"/>
      <c r="B978" s="4"/>
      <c r="C978" s="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1"/>
    </row>
    <row r="979">
      <c r="A979" s="4"/>
      <c r="B979" s="4"/>
      <c r="C979" s="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1"/>
    </row>
    <row r="980">
      <c r="A980" s="4"/>
      <c r="B980" s="4"/>
      <c r="C980" s="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1"/>
    </row>
    <row r="981">
      <c r="A981" s="4"/>
      <c r="B981" s="4"/>
      <c r="C981" s="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1"/>
    </row>
    <row r="982">
      <c r="A982" s="4"/>
      <c r="B982" s="4"/>
      <c r="C982" s="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1"/>
    </row>
    <row r="983">
      <c r="A983" s="4"/>
      <c r="B983" s="4"/>
      <c r="C983" s="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1"/>
    </row>
    <row r="984">
      <c r="A984" s="4"/>
      <c r="B984" s="4"/>
      <c r="C984" s="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1"/>
    </row>
    <row r="985">
      <c r="A985" s="4"/>
      <c r="B985" s="4"/>
      <c r="C985" s="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1"/>
    </row>
    <row r="986">
      <c r="A986" s="4"/>
      <c r="B986" s="4"/>
      <c r="C986" s="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1"/>
    </row>
    <row r="987">
      <c r="A987" s="4"/>
      <c r="B987" s="4"/>
      <c r="C987" s="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1"/>
    </row>
    <row r="988">
      <c r="A988" s="4"/>
      <c r="B988" s="4"/>
      <c r="C988" s="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1"/>
    </row>
    <row r="989">
      <c r="A989" s="4"/>
      <c r="B989" s="4"/>
      <c r="C989" s="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1"/>
    </row>
    <row r="990">
      <c r="A990" s="4"/>
      <c r="B990" s="4"/>
      <c r="C990" s="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1"/>
    </row>
    <row r="991">
      <c r="A991" s="4"/>
      <c r="B991" s="4"/>
      <c r="C991" s="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1"/>
    </row>
    <row r="992">
      <c r="A992" s="4"/>
      <c r="B992" s="4"/>
      <c r="C992" s="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1"/>
    </row>
    <row r="993">
      <c r="A993" s="4"/>
      <c r="B993" s="4"/>
      <c r="C993" s="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1"/>
    </row>
    <row r="994">
      <c r="A994" s="4"/>
      <c r="B994" s="4"/>
      <c r="C994" s="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1"/>
    </row>
    <row r="995">
      <c r="A995" s="4"/>
      <c r="B995" s="4"/>
      <c r="C995" s="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1"/>
    </row>
    <row r="996">
      <c r="A996" s="4"/>
      <c r="B996" s="4"/>
      <c r="C996" s="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1"/>
    </row>
    <row r="997">
      <c r="A997" s="4"/>
      <c r="B997" s="4"/>
      <c r="C997" s="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1"/>
    </row>
    <row r="998">
      <c r="A998" s="4"/>
      <c r="B998" s="4"/>
      <c r="C998" s="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1"/>
    </row>
    <row r="999">
      <c r="A999" s="4"/>
      <c r="B999" s="4"/>
      <c r="C999" s="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1"/>
    </row>
    <row r="1000">
      <c r="A1000" s="4"/>
      <c r="B1000" s="4"/>
      <c r="C1000" s="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1"/>
    </row>
  </sheetData>
  <mergeCells count="1">
    <mergeCell ref="B5:M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3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1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3"/>
      <c r="D3" s="1"/>
      <c r="E3" s="1">
        <f>1.495*1.65</f>
        <v>2.46675</v>
      </c>
      <c r="F3" s="1"/>
      <c r="G3" s="1"/>
      <c r="H3" s="1"/>
      <c r="I3" s="1"/>
      <c r="J3" s="1"/>
      <c r="K3" s="1"/>
      <c r="L3" s="1"/>
      <c r="M3" s="1"/>
    </row>
    <row r="4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A5" s="1"/>
      <c r="B5" s="12" t="s">
        <v>8</v>
      </c>
    </row>
    <row r="6">
      <c r="A6" s="1"/>
      <c r="B6" s="16" t="s">
        <v>12</v>
      </c>
      <c r="C6" s="17" t="s">
        <v>15</v>
      </c>
      <c r="D6" s="16" t="s">
        <v>18</v>
      </c>
      <c r="E6" s="19" t="s">
        <v>20</v>
      </c>
      <c r="F6" s="16" t="s">
        <v>23</v>
      </c>
      <c r="G6" s="16" t="s">
        <v>24</v>
      </c>
      <c r="H6" s="16" t="s">
        <v>26</v>
      </c>
      <c r="I6" s="16" t="s">
        <v>27</v>
      </c>
      <c r="J6" s="16" t="s">
        <v>28</v>
      </c>
      <c r="K6" s="16" t="s">
        <v>29</v>
      </c>
      <c r="L6" s="16" t="s">
        <v>30</v>
      </c>
      <c r="M6" s="16" t="s">
        <v>31</v>
      </c>
    </row>
    <row r="7">
      <c r="A7" s="13" t="s">
        <v>33</v>
      </c>
      <c r="B7" s="22">
        <f>'직업패시브'!B7+'스카우터'!$E$14-10</f>
        <v>60</v>
      </c>
      <c r="C7" s="24">
        <f>'직업패시브'!C7</f>
        <v>0</v>
      </c>
      <c r="D7" s="22">
        <f>'직업패시브'!D7+'스카우터'!$E$15-10</f>
        <v>0</v>
      </c>
      <c r="E7" s="22">
        <f>'직업패시브'!E7+'무기공'!I7+'스카우터'!$E$16-3</f>
        <v>201</v>
      </c>
      <c r="F7" s="22">
        <f>'직업패시브'!F7</f>
        <v>10</v>
      </c>
      <c r="G7" s="22">
        <f>'직업패시브'!G7</f>
        <v>0</v>
      </c>
      <c r="H7" s="22">
        <f>'직업패시브'!H7</f>
        <v>10</v>
      </c>
      <c r="I7" s="22">
        <f>((1+'직업패시브'!I7/100)*if('스카우터'!$B$8="본섭",1,if('스카우터'!$C$8&lt;250,(1+'보정상수'!$F$3),(1+'보정상수'!$F$4)))-1)*100</f>
        <v>49.5</v>
      </c>
      <c r="J7" s="22">
        <f>'직업패시브'!J7</f>
        <v>20</v>
      </c>
      <c r="K7" s="22">
        <f>'직업패시브'!K7</f>
        <v>10</v>
      </c>
      <c r="L7" s="22">
        <f>'직업패시브'!L7</f>
        <v>1.3</v>
      </c>
      <c r="M7" s="22">
        <f>'직업패시브'!M7</f>
        <v>0.9</v>
      </c>
    </row>
    <row r="8">
      <c r="A8" s="13" t="s">
        <v>36</v>
      </c>
      <c r="B8" s="22">
        <f>'직업패시브'!B8+'스카우터'!$E$14-10</f>
        <v>30</v>
      </c>
      <c r="C8" s="24">
        <f>'직업패시브'!C8</f>
        <v>0</v>
      </c>
      <c r="D8" s="22">
        <f>'직업패시브'!D8+'스카우터'!$E$15-10</f>
        <v>30</v>
      </c>
      <c r="E8" s="22">
        <f>'직업패시브'!E8+'무기공'!I8+'스카우터'!$E$16-3</f>
        <v>80</v>
      </c>
      <c r="F8" s="22">
        <f>'직업패시브'!F8</f>
        <v>0</v>
      </c>
      <c r="G8" s="22">
        <f>'직업패시브'!G8</f>
        <v>0</v>
      </c>
      <c r="H8" s="22">
        <f>'직업패시브'!H8</f>
        <v>20</v>
      </c>
      <c r="I8" s="22">
        <f>((1+'직업패시브'!I8/100)*if('스카우터'!$B$8="본섭",1,if('스카우터'!$C$8&lt;250,(1+'보정상수'!$F$3),(1+'보정상수'!$F$4)))-1)*100</f>
        <v>202.5</v>
      </c>
      <c r="J8" s="22">
        <f>'직업패시브'!J8</f>
        <v>50</v>
      </c>
      <c r="K8" s="22">
        <f>'직업패시브'!K8</f>
        <v>20</v>
      </c>
      <c r="L8" s="22">
        <f>'직업패시브'!L8</f>
        <v>1.44</v>
      </c>
      <c r="M8" s="22">
        <f>'직업패시브'!M8</f>
        <v>0.9</v>
      </c>
    </row>
    <row r="9">
      <c r="A9" s="13" t="s">
        <v>38</v>
      </c>
      <c r="B9" s="22">
        <f>'직업패시브'!B9+'스카우터'!$E$14-10</f>
        <v>80</v>
      </c>
      <c r="C9" s="24">
        <f>'직업패시브'!C9</f>
        <v>0</v>
      </c>
      <c r="D9" s="22">
        <f>'직업패시브'!D9+'스카우터'!$E$15-10</f>
        <v>30</v>
      </c>
      <c r="E9" s="22">
        <f>'직업패시브'!E9+'무기공'!I9+'스카우터'!$E$16-3</f>
        <v>27</v>
      </c>
      <c r="F9" s="22">
        <f>'직업패시브'!F9</f>
        <v>0</v>
      </c>
      <c r="G9" s="22">
        <f>'직업패시브'!G9</f>
        <v>0</v>
      </c>
      <c r="H9" s="22">
        <f>'직업패시브'!H9</f>
        <v>0</v>
      </c>
      <c r="I9" s="22">
        <f>((1+'직업패시브'!I9/100)*if('스카우터'!$B$8="본섭",1,if('스카우터'!$C$8&lt;250,(1+'보정상수'!$F$3),(1+'보정상수'!$F$4)))-1)*100</f>
        <v>0</v>
      </c>
      <c r="J9" s="22">
        <f>'직업패시브'!J9</f>
        <v>20</v>
      </c>
      <c r="K9" s="22">
        <f>'직업패시브'!K9</f>
        <v>25</v>
      </c>
      <c r="L9" s="22">
        <f>'직업패시브'!L9</f>
        <v>1.3</v>
      </c>
      <c r="M9" s="22">
        <f>'직업패시브'!M9</f>
        <v>0.9</v>
      </c>
    </row>
    <row r="10">
      <c r="A10" s="13" t="s">
        <v>40</v>
      </c>
      <c r="B10" s="22">
        <f>'직업패시브'!B10+'스카우터'!$E$14-10</f>
        <v>30</v>
      </c>
      <c r="C10" s="24">
        <f>'직업패시브'!C10</f>
        <v>0</v>
      </c>
      <c r="D10" s="22">
        <f>'직업패시브'!D10+'스카우터'!$E$15-10</f>
        <v>30</v>
      </c>
      <c r="E10" s="22">
        <f>'직업패시브'!E10+'무기공'!I10+'스카우터'!$E$16-3</f>
        <v>47</v>
      </c>
      <c r="F10" s="22">
        <f>'직업패시브'!F10</f>
        <v>30</v>
      </c>
      <c r="G10" s="22">
        <f>'직업패시브'!G10</f>
        <v>50</v>
      </c>
      <c r="H10" s="22">
        <f>'직업패시브'!H10</f>
        <v>20</v>
      </c>
      <c r="I10" s="22">
        <f>((1+'직업패시브'!I10/100)*if('스카우터'!$B$8="본섭",1,if('스카우터'!$C$8&lt;250,(1+'보정상수'!$F$3),(1+'보정상수'!$F$4)))-1)*100</f>
        <v>38</v>
      </c>
      <c r="J10" s="22">
        <f>'직업패시브'!J10</f>
        <v>25</v>
      </c>
      <c r="K10" s="22">
        <f>'직업패시브'!K10</f>
        <v>30</v>
      </c>
      <c r="L10" s="22">
        <f>'직업패시브'!L10</f>
        <v>1.3</v>
      </c>
      <c r="M10" s="22">
        <f>'직업패시브'!M10</f>
        <v>0.85</v>
      </c>
    </row>
    <row r="11">
      <c r="A11" s="13" t="s">
        <v>42</v>
      </c>
      <c r="B11" s="22">
        <f>'직업패시브'!B11+'스카우터'!$E$14-10</f>
        <v>60</v>
      </c>
      <c r="C11" s="24">
        <f>'직업패시브'!C11</f>
        <v>0</v>
      </c>
      <c r="D11" s="22">
        <f>'직업패시브'!D11+'스카우터'!$E$15-10</f>
        <v>0</v>
      </c>
      <c r="E11" s="22">
        <f>'직업패시브'!E11+'무기공'!I11+'스카우터'!$E$16-3</f>
        <v>-13</v>
      </c>
      <c r="F11" s="22">
        <f>'직업패시브'!F11</f>
        <v>0</v>
      </c>
      <c r="G11" s="22">
        <f>'직업패시브'!G11</f>
        <v>0</v>
      </c>
      <c r="H11" s="22">
        <f>'직업패시브'!H11</f>
        <v>30</v>
      </c>
      <c r="I11" s="22">
        <f>((1+'직업패시브'!I11/100)*if('스카우터'!$B$8="본섭",1,if('스카우터'!$C$8&lt;250,(1+'보정상수'!$F$3),(1+'보정상수'!$F$4)))-1)*100</f>
        <v>32</v>
      </c>
      <c r="J11" s="22">
        <f>'직업패시브'!J11</f>
        <v>30</v>
      </c>
      <c r="K11" s="22">
        <f>'직업패시브'!K11</f>
        <v>30</v>
      </c>
      <c r="L11" s="22">
        <f>'직업패시브'!L11</f>
        <v>1.7</v>
      </c>
      <c r="M11" s="22">
        <f>'직업패시브'!M11</f>
        <v>0.9</v>
      </c>
    </row>
    <row r="12">
      <c r="A12" s="13" t="s">
        <v>44</v>
      </c>
      <c r="B12" s="22">
        <f>'직업패시브'!B12+'스카우터'!$E$14-10</f>
        <v>50</v>
      </c>
      <c r="C12" s="24">
        <f>'직업패시브'!C12</f>
        <v>0</v>
      </c>
      <c r="D12" s="22">
        <f>'직업패시브'!D12+'스카우터'!$E$15-10</f>
        <v>0</v>
      </c>
      <c r="E12" s="22">
        <f>'직업패시브'!E12+'무기공'!I12+'스카우터'!$E$16-3</f>
        <v>115</v>
      </c>
      <c r="F12" s="22">
        <f>'직업패시브'!F12</f>
        <v>30</v>
      </c>
      <c r="G12" s="22">
        <f>'직업패시브'!G12</f>
        <v>0</v>
      </c>
      <c r="H12" s="22">
        <f>'직업패시브'!H12</f>
        <v>0</v>
      </c>
      <c r="I12" s="22">
        <f>((1+'직업패시브'!I12/100)*if('스카우터'!$B$8="본섭",1,if('스카우터'!$C$8&lt;250,(1+'보정상수'!$F$3),(1+'보정상수'!$F$4)))-1)*100</f>
        <v>20</v>
      </c>
      <c r="J12" s="22">
        <f>'직업패시브'!J12</f>
        <v>40</v>
      </c>
      <c r="K12" s="22">
        <f>'직업패시브'!K12</f>
        <v>15</v>
      </c>
      <c r="L12" s="22">
        <f>'직업패시브'!L12</f>
        <v>1.34</v>
      </c>
      <c r="M12" s="22">
        <f>'직업패시브'!M12</f>
        <v>0.9</v>
      </c>
    </row>
    <row r="13">
      <c r="A13" s="13" t="s">
        <v>46</v>
      </c>
      <c r="B13" s="22">
        <f>'직업패시브'!B13+'스카우터'!$E$14-10</f>
        <v>60</v>
      </c>
      <c r="C13" s="24">
        <f>'직업패시브'!C13</f>
        <v>0</v>
      </c>
      <c r="D13" s="22">
        <f>'직업패시브'!D13+'스카우터'!$E$15-10</f>
        <v>0</v>
      </c>
      <c r="E13" s="22">
        <f>'직업패시브'!E13+'무기공'!I13+'스카우터'!$E$16-3</f>
        <v>67</v>
      </c>
      <c r="F13" s="22">
        <f>'직업패시브'!F13</f>
        <v>10</v>
      </c>
      <c r="G13" s="22">
        <f>'직업패시브'!G13</f>
        <v>10</v>
      </c>
      <c r="H13" s="22">
        <f>'직업패시브'!H13</f>
        <v>20</v>
      </c>
      <c r="I13" s="22">
        <f>((1+'직업패시브'!I13/100)*if('스카우터'!$B$8="본섭",1,if('스카우터'!$C$8&lt;250,(1+'보정상수'!$F$3),(1+'보정상수'!$F$4)))-1)*100</f>
        <v>51.25</v>
      </c>
      <c r="J13" s="22">
        <f>'직업패시브'!J13</f>
        <v>27</v>
      </c>
      <c r="K13" s="22">
        <f>'직업패시브'!K13</f>
        <v>40</v>
      </c>
      <c r="L13" s="22">
        <f>'직업패시브'!L13</f>
        <v>1.3</v>
      </c>
      <c r="M13" s="22">
        <f>'직업패시브'!M13</f>
        <v>0.9</v>
      </c>
    </row>
    <row r="14">
      <c r="A14" s="13" t="s">
        <v>48</v>
      </c>
      <c r="B14" s="22">
        <f>'직업패시브'!B14+'스카우터'!$E$14-10</f>
        <v>50</v>
      </c>
      <c r="C14" s="24">
        <f>'직업패시브'!C14</f>
        <v>0</v>
      </c>
      <c r="D14" s="22">
        <f>'직업패시브'!D14+'스카우터'!$E$15-10</f>
        <v>30</v>
      </c>
      <c r="E14" s="22">
        <f>'직업패시브'!E14+'무기공'!I14+'스카우터'!$E$16-3</f>
        <v>-231</v>
      </c>
      <c r="F14" s="22">
        <f>'직업패시브'!F14</f>
        <v>0</v>
      </c>
      <c r="G14" s="22">
        <f>'직업패시브'!G14</f>
        <v>0</v>
      </c>
      <c r="H14" s="22">
        <f>'직업패시브'!H14</f>
        <v>10</v>
      </c>
      <c r="I14" s="22">
        <f>((1+'직업패시브'!I14/100)*if('스카우터'!$B$8="본섭",1,if('스카우터'!$C$8&lt;250,(1+'보정상수'!$F$3),(1+'보정상수'!$F$4)))-1)*100</f>
        <v>25</v>
      </c>
      <c r="J14" s="22">
        <f>'직업패시브'!J14</f>
        <v>30</v>
      </c>
      <c r="K14" s="22">
        <f>'직업패시브'!K14</f>
        <v>30</v>
      </c>
      <c r="L14" s="22">
        <f>'직업패시브'!L14</f>
        <v>1.75</v>
      </c>
      <c r="M14" s="22">
        <f>'직업패시브'!M14</f>
        <v>0.9</v>
      </c>
    </row>
    <row r="15">
      <c r="A15" s="13" t="s">
        <v>49</v>
      </c>
      <c r="B15" s="22">
        <f>'직업패시브'!B15+'스카우터'!$E$14-10</f>
        <v>80</v>
      </c>
      <c r="C15" s="24">
        <f>'직업패시브'!C15</f>
        <v>0</v>
      </c>
      <c r="D15" s="22">
        <f>'직업패시브'!D15+'스카우터'!$E$15-10</f>
        <v>0</v>
      </c>
      <c r="E15" s="22">
        <f>'직업패시브'!E15+'무기공'!I15+'스카우터'!$E$16-3</f>
        <v>-78</v>
      </c>
      <c r="F15" s="22">
        <f>'직업패시브'!F15</f>
        <v>0</v>
      </c>
      <c r="G15" s="22">
        <f>'직업패시브'!G15</f>
        <v>20</v>
      </c>
      <c r="H15" s="22">
        <f>'직업패시브'!H15</f>
        <v>0</v>
      </c>
      <c r="I15" s="22">
        <f>((1+'직업패시브'!I15/100)*if('스카우터'!$B$8="본섭",1,if('스카우터'!$C$8&lt;250,(1+'보정상수'!$F$3),(1+'보정상수'!$F$4)))-1)*100</f>
        <v>10</v>
      </c>
      <c r="J15" s="22">
        <f>'직업패시브'!J15</f>
        <v>15</v>
      </c>
      <c r="K15" s="22">
        <f>'직업패시브'!K15</f>
        <v>60</v>
      </c>
      <c r="L15" s="22">
        <f>'직업패시브'!L15</f>
        <v>1.7</v>
      </c>
      <c r="M15" s="22">
        <f>'직업패시브'!M15</f>
        <v>0.95</v>
      </c>
    </row>
    <row r="16">
      <c r="A16" s="13" t="s">
        <v>51</v>
      </c>
      <c r="B16" s="22">
        <f>'직업패시브'!B16+'스카우터'!$E$14-10</f>
        <v>140</v>
      </c>
      <c r="C16" s="24">
        <f>'직업패시브'!C16</f>
        <v>0</v>
      </c>
      <c r="D16" s="22">
        <f>'직업패시브'!D16+'스카우터'!$E$15-10</f>
        <v>40</v>
      </c>
      <c r="E16" s="22">
        <f>'직업패시브'!E16+'무기공'!I16+'스카우터'!$E$16-3</f>
        <v>53</v>
      </c>
      <c r="F16" s="22">
        <f>'직업패시브'!F16</f>
        <v>0</v>
      </c>
      <c r="G16" s="22">
        <f>'직업패시브'!G16</f>
        <v>30</v>
      </c>
      <c r="H16" s="22">
        <f>'직업패시브'!H16</f>
        <v>0</v>
      </c>
      <c r="I16" s="22">
        <f>((1+'직업패시브'!I16/100)*if('스카우터'!$B$8="본섭",1,if('스카우터'!$C$8&lt;250,(1+'보정상수'!$F$3),(1+'보정상수'!$F$4)))-1)*100</f>
        <v>62.5</v>
      </c>
      <c r="J16" s="22">
        <f>'직업패시브'!J16</f>
        <v>30</v>
      </c>
      <c r="K16" s="22">
        <f>'직업패시브'!K16</f>
        <v>15</v>
      </c>
      <c r="L16" s="22">
        <f>'직업패시브'!L16</f>
        <v>1.3</v>
      </c>
      <c r="M16" s="22">
        <f>'직업패시브'!M16</f>
        <v>0.9</v>
      </c>
    </row>
    <row r="17">
      <c r="A17" s="13" t="s">
        <v>52</v>
      </c>
      <c r="B17" s="22">
        <f>'직업패시브'!B17+'스카우터'!$E$14-10</f>
        <v>30</v>
      </c>
      <c r="C17" s="24">
        <f>'직업패시브'!C17</f>
        <v>0</v>
      </c>
      <c r="D17" s="22">
        <f>'직업패시브'!D17+'스카우터'!$E$15-10</f>
        <v>30</v>
      </c>
      <c r="E17" s="22">
        <f>'직업패시브'!E17+'무기공'!I17+'스카우터'!$E$16-3</f>
        <v>47</v>
      </c>
      <c r="F17" s="22">
        <f>'직업패시브'!F17</f>
        <v>0</v>
      </c>
      <c r="G17" s="22">
        <f>'직업패시브'!G17</f>
        <v>0</v>
      </c>
      <c r="H17" s="22">
        <f>'직업패시브'!H17</f>
        <v>0</v>
      </c>
      <c r="I17" s="22">
        <f>((1+'직업패시브'!I17/100)*if('스카우터'!$B$8="본섭",1,if('스카우터'!$C$8&lt;250,(1+'보정상수'!$F$3),(1+'보정상수'!$F$4)))-1)*100</f>
        <v>20</v>
      </c>
      <c r="J17" s="22">
        <f>'직업패시브'!J17</f>
        <v>0</v>
      </c>
      <c r="K17" s="22">
        <f>'직업패시브'!K17</f>
        <v>13</v>
      </c>
      <c r="L17" s="22">
        <f>'직업패시브'!L17</f>
        <v>1.3</v>
      </c>
      <c r="M17" s="22">
        <f>'직업패시브'!M17</f>
        <v>0.9</v>
      </c>
    </row>
    <row r="18">
      <c r="A18" s="13" t="s">
        <v>54</v>
      </c>
      <c r="B18" s="22">
        <f>'직업패시브'!B18+'스카우터'!$E$14-10</f>
        <v>30</v>
      </c>
      <c r="C18" s="24">
        <f>'직업패시브'!C18</f>
        <v>0</v>
      </c>
      <c r="D18" s="22">
        <f>'직업패시브'!D18+'스카우터'!$E$15-10</f>
        <v>30</v>
      </c>
      <c r="E18" s="22">
        <f>'직업패시브'!E18+'무기공'!I18+'스카우터'!$E$16-3</f>
        <v>30</v>
      </c>
      <c r="F18" s="22">
        <f>'직업패시브'!F18</f>
        <v>0</v>
      </c>
      <c r="G18" s="22">
        <f>'직업패시브'!G18</f>
        <v>0</v>
      </c>
      <c r="H18" s="22">
        <f>'직업패시브'!H18</f>
        <v>0</v>
      </c>
      <c r="I18" s="22">
        <f>((1+'직업패시브'!I18/100)*if('스카우터'!$B$8="본섭",1,if('스카우터'!$C$8&lt;250,(1+'보정상수'!$F$3),(1+'보정상수'!$F$4)))-1)*100</f>
        <v>71.82</v>
      </c>
      <c r="J18" s="22">
        <f>'직업패시브'!J18</f>
        <v>31</v>
      </c>
      <c r="K18" s="22">
        <f>'직업패시브'!K18</f>
        <v>20</v>
      </c>
      <c r="L18" s="22">
        <f>'직업패시브'!L18</f>
        <v>1.34</v>
      </c>
      <c r="M18" s="22">
        <f>'직업패시브'!M18</f>
        <v>0.9</v>
      </c>
    </row>
    <row r="19">
      <c r="A19" s="13" t="s">
        <v>56</v>
      </c>
      <c r="B19" s="22">
        <f>'직업패시브'!B19+'스카우터'!$E$14-10</f>
        <v>50</v>
      </c>
      <c r="C19" s="24">
        <f>'직업패시브'!C19</f>
        <v>0</v>
      </c>
      <c r="D19" s="22">
        <f>'직업패시브'!D19+'스카우터'!$E$15-10</f>
        <v>0</v>
      </c>
      <c r="E19" s="22">
        <f>'직업패시브'!E19+'무기공'!I19+'스카우터'!$E$16-3</f>
        <v>45</v>
      </c>
      <c r="F19" s="22">
        <f>'직업패시브'!F19</f>
        <v>0</v>
      </c>
      <c r="G19" s="22">
        <f>'직업패시브'!G19</f>
        <v>0</v>
      </c>
      <c r="H19" s="22">
        <f>'직업패시브'!H19</f>
        <v>90</v>
      </c>
      <c r="I19" s="22">
        <f>((1+'직업패시브'!I19/100)*if('스카우터'!$B$8="본섭",1,if('스카우터'!$C$8&lt;250,(1+'보정상수'!$F$3),(1+'보정상수'!$F$4)))-1)*100</f>
        <v>31.25</v>
      </c>
      <c r="J19" s="22">
        <f>'직업패시브'!J19</f>
        <v>28</v>
      </c>
      <c r="K19" s="22">
        <f>'직업패시브'!K19</f>
        <v>0</v>
      </c>
      <c r="L19" s="22">
        <f>'직업패시브'!L19</f>
        <v>1.49</v>
      </c>
      <c r="M19" s="22">
        <f>'직업패시브'!M19</f>
        <v>0.9</v>
      </c>
    </row>
    <row r="20">
      <c r="A20" s="13" t="s">
        <v>58</v>
      </c>
      <c r="B20" s="22">
        <f>'직업패시브'!B20+'스카우터'!$E$14-10</f>
        <v>30</v>
      </c>
      <c r="C20" s="24">
        <f>'직업패시브'!C20</f>
        <v>0</v>
      </c>
      <c r="D20" s="22">
        <f>'직업패시브'!D20+'스카우터'!$E$15-10</f>
        <v>30</v>
      </c>
      <c r="E20" s="22">
        <f>'직업패시브'!E20+'무기공'!I20+'스카우터'!$E$16-3</f>
        <v>-104</v>
      </c>
      <c r="F20" s="22">
        <f>'직업패시브'!F20</f>
        <v>0</v>
      </c>
      <c r="G20" s="22">
        <f>'직업패시브'!G20</f>
        <v>10</v>
      </c>
      <c r="H20" s="22">
        <f>'직업패시브'!H20</f>
        <v>0</v>
      </c>
      <c r="I20" s="22">
        <f>((1+'직업패시브'!I20/100)*if('스카우터'!$B$8="본섭",1,if('스카우터'!$C$8&lt;250,(1+'보정상수'!$F$3),(1+'보정상수'!$F$4)))-1)*100</f>
        <v>20</v>
      </c>
      <c r="J20" s="22">
        <f>'직업패시브'!J20</f>
        <v>30</v>
      </c>
      <c r="K20" s="22">
        <f>'직업패시브'!K20</f>
        <v>5</v>
      </c>
      <c r="L20" s="22">
        <f>'직업패시브'!L20</f>
        <v>1.5</v>
      </c>
      <c r="M20" s="22">
        <f>'직업패시브'!M20</f>
        <v>0.85</v>
      </c>
    </row>
    <row r="21">
      <c r="A21" s="13" t="s">
        <v>60</v>
      </c>
      <c r="B21" s="22">
        <f>'직업패시브'!B21+'스카우터'!$E$14-10</f>
        <v>40</v>
      </c>
      <c r="C21" s="24">
        <f>'직업패시브'!C21</f>
        <v>0</v>
      </c>
      <c r="D21" s="22">
        <f>'직업패시브'!D21+'스카우터'!$E$15-10</f>
        <v>0</v>
      </c>
      <c r="E21" s="22">
        <f>'직업패시브'!E21+'무기공'!I21+'스카우터'!$E$16-3</f>
        <v>199</v>
      </c>
      <c r="F21" s="22">
        <f>'직업패시브'!F21</f>
        <v>0</v>
      </c>
      <c r="G21" s="22">
        <f>'직업패시브'!G21</f>
        <v>50</v>
      </c>
      <c r="H21" s="22">
        <f>'직업패시브'!H21</f>
        <v>0</v>
      </c>
      <c r="I21" s="22">
        <f>((1+'직업패시브'!I21/100)*if('스카우터'!$B$8="본섭",1,if('스카우터'!$C$8&lt;250,(1+'보정상수'!$F$3),(1+'보정상수'!$F$4)))-1)*100</f>
        <v>40</v>
      </c>
      <c r="J21" s="22">
        <f>'직업패시브'!J21</f>
        <v>20</v>
      </c>
      <c r="K21" s="22">
        <f>'직업패시브'!K21</f>
        <v>13</v>
      </c>
      <c r="L21" s="22">
        <f>'직업패시브'!L21</f>
        <v>1.2</v>
      </c>
      <c r="M21" s="22">
        <f>'직업패시브'!M21</f>
        <v>0.95</v>
      </c>
    </row>
    <row r="22">
      <c r="A22" s="13" t="s">
        <v>62</v>
      </c>
      <c r="B22" s="22">
        <f>'직업패시브'!B22+'스카우터'!$E$14-10</f>
        <v>60</v>
      </c>
      <c r="C22" s="24">
        <f>'직업패시브'!C22</f>
        <v>0</v>
      </c>
      <c r="D22" s="22">
        <f>'직업패시브'!D22+'스카우터'!$E$15-10</f>
        <v>30</v>
      </c>
      <c r="E22" s="22">
        <f>'직업패시브'!E22+'무기공'!I22+'스카우터'!$E$16-3</f>
        <v>117</v>
      </c>
      <c r="F22" s="22">
        <f>'직업패시브'!F22</f>
        <v>0</v>
      </c>
      <c r="G22" s="22">
        <f>'직업패시브'!G22</f>
        <v>0</v>
      </c>
      <c r="H22" s="22">
        <f>'직업패시브'!H22</f>
        <v>0</v>
      </c>
      <c r="I22" s="22">
        <f>((1+'직업패시브'!I22/100)*if('스카우터'!$B$8="본섭",1,if('스카우터'!$C$8&lt;250,(1+'보정상수'!$F$3),(1+'보정상수'!$F$4)))-1)*100</f>
        <v>25</v>
      </c>
      <c r="J22" s="22">
        <f>'직업패시브'!J22</f>
        <v>20</v>
      </c>
      <c r="K22" s="22">
        <f>'직업패시브'!K22</f>
        <v>45</v>
      </c>
      <c r="L22" s="22">
        <f>'직업패시브'!L22</f>
        <v>1.3</v>
      </c>
      <c r="M22" s="22">
        <f>'직업패시브'!M22</f>
        <v>0.9</v>
      </c>
    </row>
    <row r="23">
      <c r="A23" s="13" t="s">
        <v>64</v>
      </c>
      <c r="B23" s="22">
        <f>'직업패시브'!B23+'스카우터'!$E$14-10</f>
        <v>50</v>
      </c>
      <c r="C23" s="24">
        <f>'직업패시브'!C23</f>
        <v>0</v>
      </c>
      <c r="D23" s="22">
        <f>'직업패시브'!D23+'스카우터'!$E$15-10</f>
        <v>10</v>
      </c>
      <c r="E23" s="22">
        <f>'직업패시브'!E23+'무기공'!I23+'스카우터'!$E$16-3</f>
        <v>314</v>
      </c>
      <c r="F23" s="22">
        <f>'직업패시브'!F23</f>
        <v>35</v>
      </c>
      <c r="G23" s="22">
        <f>'직업패시브'!G23</f>
        <v>20</v>
      </c>
      <c r="H23" s="22">
        <f>'직업패시브'!H23</f>
        <v>20</v>
      </c>
      <c r="I23" s="22">
        <f>((1+'직업패시브'!I23/100)*if('스카우터'!$B$8="본섭",1,if('스카우터'!$C$8&lt;250,(1+'보정상수'!$F$3),(1+'보정상수'!$F$4)))-1)*100</f>
        <v>49.5</v>
      </c>
      <c r="J23" s="22">
        <f>'직업패시브'!J23</f>
        <v>20</v>
      </c>
      <c r="K23" s="22">
        <f>'직업패시브'!K23</f>
        <v>40</v>
      </c>
      <c r="L23" s="22">
        <f>'직업패시브'!L23</f>
        <v>1.2</v>
      </c>
      <c r="M23" s="22">
        <f>'직업패시브'!M23</f>
        <v>0.95</v>
      </c>
    </row>
    <row r="24">
      <c r="A24" s="13" t="s">
        <v>66</v>
      </c>
      <c r="B24" s="22">
        <f>'직업패시브'!B24+'스카우터'!$E$14-10</f>
        <v>110</v>
      </c>
      <c r="C24" s="24">
        <f>'직업패시브'!C24</f>
        <v>0</v>
      </c>
      <c r="D24" s="22">
        <f>'직업패시브'!D24+'스카우터'!$E$15-10</f>
        <v>30</v>
      </c>
      <c r="E24" s="22">
        <f>'직업패시브'!E24+'무기공'!I24+'스카우터'!$E$16-3</f>
        <v>37</v>
      </c>
      <c r="F24" s="22">
        <f>'직업패시브'!F24</f>
        <v>20</v>
      </c>
      <c r="G24" s="22">
        <f>'직업패시브'!G24</f>
        <v>10</v>
      </c>
      <c r="H24" s="22">
        <f>'직업패시브'!H24</f>
        <v>0</v>
      </c>
      <c r="I24" s="22">
        <f>((1+'직업패시브'!I24/100)*if('스카우터'!$B$8="본섭",1,if('스카우터'!$C$8&lt;250,(1+'보정상수'!$F$3),(1+'보정상수'!$F$4)))-1)*100</f>
        <v>0</v>
      </c>
      <c r="J24" s="22">
        <f>'직업패시브'!J24</f>
        <v>30</v>
      </c>
      <c r="K24" s="22">
        <f>'직업패시브'!K24</f>
        <v>18</v>
      </c>
      <c r="L24" s="22">
        <f>'직업패시브'!L24</f>
        <v>1.3</v>
      </c>
      <c r="M24" s="22">
        <f>'직업패시브'!M24</f>
        <v>0.85</v>
      </c>
    </row>
    <row r="25">
      <c r="A25" s="13" t="s">
        <v>68</v>
      </c>
      <c r="B25" s="22">
        <f>'직업패시브'!B25+'스카우터'!$E$14-10</f>
        <v>60</v>
      </c>
      <c r="C25" s="24">
        <f>'직업패시브'!C25</f>
        <v>0</v>
      </c>
      <c r="D25" s="22">
        <f>'직업패시브'!D25+'스카우터'!$E$15-10</f>
        <v>0</v>
      </c>
      <c r="E25" s="22">
        <f>'직업패시브'!E25+'무기공'!I25+'스카우터'!$E$16-3</f>
        <v>-148</v>
      </c>
      <c r="F25" s="22">
        <f>'직업패시브'!F25</f>
        <v>0</v>
      </c>
      <c r="G25" s="22">
        <f>'직업패시브'!G25</f>
        <v>20</v>
      </c>
      <c r="H25" s="22">
        <f>'직업패시브'!H25</f>
        <v>30</v>
      </c>
      <c r="I25" s="22">
        <f>((1+'직업패시브'!I25/100)*if('스카우터'!$B$8="본섭",1,if('스카우터'!$C$8&lt;250,(1+'보정상수'!$F$3),(1+'보정상수'!$F$4)))-1)*100</f>
        <v>26.5</v>
      </c>
      <c r="J25" s="22">
        <f>'직업패시브'!J25</f>
        <v>30</v>
      </c>
      <c r="K25" s="22">
        <f>'직업패시브'!K25</f>
        <v>20</v>
      </c>
      <c r="L25" s="22">
        <f>'직업패시브'!L25</f>
        <v>1.7</v>
      </c>
      <c r="M25" s="22">
        <f>'직업패시브'!M25</f>
        <v>0.9</v>
      </c>
    </row>
    <row r="26">
      <c r="A26" s="13" t="s">
        <v>70</v>
      </c>
      <c r="B26" s="22">
        <f>'직업패시브'!B26+'스카우터'!$E$14-10</f>
        <v>30</v>
      </c>
      <c r="C26" s="24">
        <f>'직업패시브'!C26</f>
        <v>0</v>
      </c>
      <c r="D26" s="22">
        <f>'직업패시브'!D26+'스카우터'!$E$15-10</f>
        <v>30</v>
      </c>
      <c r="E26" s="22">
        <f>'직업패시브'!E26+'무기공'!I26+'스카우터'!$E$16-3</f>
        <v>109</v>
      </c>
      <c r="F26" s="22">
        <f>'직업패시브'!F26</f>
        <v>5</v>
      </c>
      <c r="G26" s="22">
        <f>'직업패시브'!G26</f>
        <v>20</v>
      </c>
      <c r="H26" s="22">
        <f>'직업패시브'!H26</f>
        <v>0</v>
      </c>
      <c r="I26" s="22">
        <f>((1+'직업패시브'!I26/100)*if('스카우터'!$B$8="본섭",1,if('스카우터'!$C$8&lt;250,(1+'보정상수'!$F$3),(1+'보정상수'!$F$4)))-1)*100</f>
        <v>0</v>
      </c>
      <c r="J26" s="22">
        <f>'직업패시브'!J26</f>
        <v>40</v>
      </c>
      <c r="K26" s="22">
        <f>'직업패시브'!K26</f>
        <v>18</v>
      </c>
      <c r="L26" s="22">
        <f>'직업패시브'!L26</f>
        <v>1.49</v>
      </c>
      <c r="M26" s="22">
        <f>'직업패시브'!M26</f>
        <v>0.9</v>
      </c>
    </row>
    <row r="27">
      <c r="A27" s="13" t="s">
        <v>72</v>
      </c>
      <c r="B27" s="22">
        <f>'직업패시브'!B27+'스카우터'!$E$14-10</f>
        <v>60</v>
      </c>
      <c r="C27" s="24">
        <f>'직업패시브'!C27</f>
        <v>0</v>
      </c>
      <c r="D27" s="22">
        <f>'직업패시브'!D27+'스카우터'!$E$15-10</f>
        <v>0</v>
      </c>
      <c r="E27" s="22">
        <f>'직업패시브'!E27+'무기공'!I27+'스카우터'!$E$16-3</f>
        <v>197</v>
      </c>
      <c r="F27" s="22">
        <f>'직업패시브'!F27</f>
        <v>0</v>
      </c>
      <c r="G27" s="22">
        <f>'직업패시브'!G27</f>
        <v>15</v>
      </c>
      <c r="H27" s="22">
        <f>'직업패시브'!H27</f>
        <v>0</v>
      </c>
      <c r="I27" s="22">
        <f>((1+'직업패시브'!I27/100)*if('스카우터'!$B$8="본섭",1,if('스카우터'!$C$8&lt;250,(1+'보정상수'!$F$3),(1+'보정상수'!$F$4)))-1)*100</f>
        <v>82</v>
      </c>
      <c r="J27" s="22">
        <f>'직업패시브'!J27</f>
        <v>49</v>
      </c>
      <c r="K27" s="22">
        <f>'직업패시브'!K27</f>
        <v>15</v>
      </c>
      <c r="L27" s="22">
        <f>'직업패시브'!L27</f>
        <v>1.2</v>
      </c>
      <c r="M27" s="22">
        <f>'직업패시브'!M27</f>
        <v>0.95</v>
      </c>
    </row>
    <row r="28">
      <c r="A28" s="13" t="s">
        <v>74</v>
      </c>
      <c r="B28" s="22">
        <f>'직업패시브'!B28+'스카우터'!$E$14-10</f>
        <v>30</v>
      </c>
      <c r="C28" s="24">
        <f>'직업패시브'!C28</f>
        <v>0</v>
      </c>
      <c r="D28" s="22">
        <f>'직업패시브'!D28+'스카우터'!$E$15-10</f>
        <v>30</v>
      </c>
      <c r="E28" s="22">
        <f>'직업패시브'!E28+'무기공'!I28+'스카우터'!$E$16-3</f>
        <v>100</v>
      </c>
      <c r="F28" s="22">
        <f>'직업패시브'!F28</f>
        <v>0</v>
      </c>
      <c r="G28" s="22">
        <f>'직업패시브'!G28</f>
        <v>5</v>
      </c>
      <c r="H28" s="22">
        <f>'직업패시브'!H28</f>
        <v>0</v>
      </c>
      <c r="I28" s="22">
        <f>((1+'직업패시브'!I28/100)*if('스카우터'!$B$8="본섭",1,if('스카우터'!$C$8&lt;250,(1+'보정상수'!$F$3),(1+'보정상수'!$F$4)))-1)*100</f>
        <v>134</v>
      </c>
      <c r="J28" s="22">
        <f>'직업패시브'!J28</f>
        <v>37</v>
      </c>
      <c r="K28" s="22">
        <f>'직업패시브'!K28</f>
        <v>38</v>
      </c>
      <c r="L28" s="22">
        <f>'직업패시브'!L28</f>
        <v>1.49</v>
      </c>
      <c r="M28" s="22">
        <f>'직업패시브'!M28</f>
        <v>0.9</v>
      </c>
    </row>
    <row r="29">
      <c r="A29" s="13" t="s">
        <v>76</v>
      </c>
      <c r="B29" s="22">
        <f>'직업패시브'!B29+'스카우터'!$E$14-10</f>
        <v>70</v>
      </c>
      <c r="C29" s="24">
        <f>'직업패시브'!C29</f>
        <v>0</v>
      </c>
      <c r="D29" s="22">
        <f>'직업패시브'!D29+'스카우터'!$E$15-10</f>
        <v>30</v>
      </c>
      <c r="E29" s="22">
        <f>'직업패시브'!E29+'무기공'!I29+'스카우터'!$E$16-3</f>
        <v>33</v>
      </c>
      <c r="F29" s="22">
        <f>'직업패시브'!F29</f>
        <v>0</v>
      </c>
      <c r="G29" s="22">
        <f>'직업패시브'!G29</f>
        <v>15</v>
      </c>
      <c r="H29" s="22">
        <f>'직업패시브'!H29</f>
        <v>0</v>
      </c>
      <c r="I29" s="22">
        <f>((1+'직업패시브'!I29/100)*if('스카우터'!$B$8="본섭",1,if('스카우터'!$C$8&lt;250,(1+'보정상수'!$F$3),(1+'보정상수'!$F$4)))-1)*100</f>
        <v>38</v>
      </c>
      <c r="J29" s="22">
        <f>'직업패시브'!J29</f>
        <v>25</v>
      </c>
      <c r="K29" s="22">
        <f>'직업패시브'!K29</f>
        <v>43</v>
      </c>
      <c r="L29" s="22">
        <f>'직업패시브'!L29</f>
        <v>1.35</v>
      </c>
      <c r="M29" s="22">
        <f>'직업패시브'!M29</f>
        <v>0.85</v>
      </c>
    </row>
    <row r="30">
      <c r="A30" s="13" t="s">
        <v>78</v>
      </c>
      <c r="B30" s="22">
        <f>'직업패시브'!B30+'스카우터'!$E$14-10</f>
        <v>90</v>
      </c>
      <c r="C30" s="24">
        <f>'직업패시브'!C30</f>
        <v>0</v>
      </c>
      <c r="D30" s="22">
        <f>'직업패시브'!D30+'스카우터'!$E$15-10</f>
        <v>90</v>
      </c>
      <c r="E30" s="22">
        <f>'직업패시브'!E30+'무기공'!I30+'스카우터'!$E$16-3</f>
        <v>76</v>
      </c>
      <c r="F30" s="22">
        <f>'직업패시브'!F30</f>
        <v>0</v>
      </c>
      <c r="G30" s="22">
        <f>'직업패시브'!G30</f>
        <v>0</v>
      </c>
      <c r="H30" s="22">
        <f>'직업패시브'!H30</f>
        <v>40</v>
      </c>
      <c r="I30" s="22">
        <f>((1+'직업패시브'!I30/100)*if('스카우터'!$B$8="본섭",1,if('스카우터'!$C$8&lt;250,(1+'보정상수'!$F$3),(1+'보정상수'!$F$4)))-1)*100</f>
        <v>43</v>
      </c>
      <c r="J30" s="22">
        <f>'직업패시브'!J30</f>
        <v>20</v>
      </c>
      <c r="K30" s="22">
        <f>'직업패시브'!K30</f>
        <v>5</v>
      </c>
      <c r="L30" s="22">
        <f>'직업패시브'!L30</f>
        <v>1.5</v>
      </c>
      <c r="M30" s="22">
        <f>'직업패시브'!M30</f>
        <v>0.85</v>
      </c>
    </row>
    <row r="31">
      <c r="A31" s="13" t="s">
        <v>80</v>
      </c>
      <c r="B31" s="22">
        <f>'직업패시브'!B31+'스카우터'!$E$14-10</f>
        <v>30</v>
      </c>
      <c r="C31" s="24">
        <f>'직업패시브'!C31</f>
        <v>0</v>
      </c>
      <c r="D31" s="22">
        <f>'직업패시브'!D31+'스카우터'!$E$15-10</f>
        <v>30</v>
      </c>
      <c r="E31" s="22">
        <f>'직업패시브'!E31+'무기공'!I31+'스카우터'!$E$16-3</f>
        <v>-89</v>
      </c>
      <c r="F31" s="22">
        <f>'직업패시브'!F31</f>
        <v>20</v>
      </c>
      <c r="G31" s="22">
        <f>'직업패시브'!G31</f>
        <v>0</v>
      </c>
      <c r="H31" s="22">
        <f>'직업패시브'!H31</f>
        <v>0</v>
      </c>
      <c r="I31" s="22">
        <f>((1+'직업패시브'!I31/100)*if('스카우터'!$B$8="본섭",1,if('스카우터'!$C$8&lt;250,(1+'보정상수'!$F$3),(1+'보정상수'!$F$4)))-1)*100</f>
        <v>20</v>
      </c>
      <c r="J31" s="22">
        <f>'직업패시브'!J31</f>
        <v>20</v>
      </c>
      <c r="K31" s="22">
        <f>'직업패시브'!K31</f>
        <v>55</v>
      </c>
      <c r="L31" s="22">
        <f>'직업패시브'!L31</f>
        <v>1.5</v>
      </c>
      <c r="M31" s="22">
        <f>'직업패시브'!M31</f>
        <v>0.85</v>
      </c>
    </row>
    <row r="32">
      <c r="A32" s="13" t="s">
        <v>82</v>
      </c>
      <c r="B32" s="22">
        <f>'직업패시브'!B32+'스카우터'!$E$14-10</f>
        <v>120</v>
      </c>
      <c r="C32" s="24">
        <f>'직업패시브'!C32</f>
        <v>0</v>
      </c>
      <c r="D32" s="22">
        <f>'직업패시브'!D32+'스카우터'!$E$15-10</f>
        <v>30</v>
      </c>
      <c r="E32" s="22">
        <f>'직업패시브'!E32+'무기공'!I32+'스카우터'!$E$16-3</f>
        <v>107</v>
      </c>
      <c r="F32" s="22">
        <f>'직업패시브'!F32</f>
        <v>25</v>
      </c>
      <c r="G32" s="22">
        <f>'직업패시브'!G32</f>
        <v>0</v>
      </c>
      <c r="H32" s="22">
        <f>'직업패시브'!H32</f>
        <v>0</v>
      </c>
      <c r="I32" s="22">
        <f>((1+'직업패시브'!I32/100)*if('스카우터'!$B$8="본섭",1,if('스카우터'!$C$8&lt;250,(1+'보정상수'!$F$3),(1+'보정상수'!$F$4)))-1)*100</f>
        <v>30</v>
      </c>
      <c r="J32" s="22">
        <f>'직업패시브'!J32</f>
        <v>25</v>
      </c>
      <c r="K32" s="22">
        <f>'직업패시브'!K32</f>
        <v>16</v>
      </c>
      <c r="L32" s="22">
        <f>'직업패시브'!L32</f>
        <v>1.3</v>
      </c>
      <c r="M32" s="22">
        <f>'직업패시브'!M32</f>
        <v>0.85</v>
      </c>
    </row>
    <row r="33">
      <c r="A33" s="13" t="s">
        <v>84</v>
      </c>
      <c r="B33" s="22">
        <f>'직업패시브'!B33+'스카우터'!$E$14-10</f>
        <v>30</v>
      </c>
      <c r="C33" s="24">
        <f>'직업패시브'!C33</f>
        <v>0</v>
      </c>
      <c r="D33" s="22">
        <f>'직업패시브'!D33+'스카우터'!$E$15-10</f>
        <v>30</v>
      </c>
      <c r="E33" s="22">
        <f>'직업패시브'!E33+'무기공'!I33+'스카우터'!$E$16-3</f>
        <v>-108</v>
      </c>
      <c r="F33" s="22">
        <f>'직업패시브'!F33</f>
        <v>15</v>
      </c>
      <c r="G33" s="22">
        <f>'직업패시브'!G33</f>
        <v>20</v>
      </c>
      <c r="H33" s="22">
        <f>'직업패시브'!H33</f>
        <v>20</v>
      </c>
      <c r="I33" s="22">
        <f>((1+'직업패시브'!I33/100)*if('스카우터'!$B$8="본섭",1,if('스카우터'!$C$8&lt;250,(1+'보정상수'!$F$3),(1+'보정상수'!$F$4)))-1)*100</f>
        <v>0</v>
      </c>
      <c r="J33" s="22">
        <f>'직업패시브'!J33</f>
        <v>35</v>
      </c>
      <c r="K33" s="22">
        <f>'직업패시브'!K33</f>
        <v>20</v>
      </c>
      <c r="L33" s="22">
        <f>'직업패시브'!L33</f>
        <v>1.7</v>
      </c>
      <c r="M33" s="22">
        <f>'직업패시브'!M33</f>
        <v>0.9</v>
      </c>
    </row>
    <row r="34">
      <c r="A34" s="13" t="s">
        <v>85</v>
      </c>
      <c r="B34" s="22">
        <f>'직업패시브'!B34+'스카우터'!$E$14-10</f>
        <v>40</v>
      </c>
      <c r="C34" s="24">
        <f>'직업패시브'!C34</f>
        <v>0</v>
      </c>
      <c r="D34" s="22">
        <f>'직업패시브'!D34+'스카우터'!$E$15-10</f>
        <v>0</v>
      </c>
      <c r="E34" s="22">
        <f>'직업패시브'!E34+'무기공'!I34+'스카우터'!$E$16-3</f>
        <v>217</v>
      </c>
      <c r="F34" s="22">
        <f>'직업패시브'!F34</f>
        <v>10</v>
      </c>
      <c r="G34" s="22">
        <f>'직업패시브'!G34</f>
        <v>40</v>
      </c>
      <c r="H34" s="22">
        <f>'직업패시브'!H34</f>
        <v>30</v>
      </c>
      <c r="I34" s="22">
        <f>((1+'직업패시브'!I34/100)*if('스카우터'!$B$8="본섭",1,if('스카우터'!$C$8&lt;250,(1+'보정상수'!$F$3),(1+'보정상수'!$F$4)))-1)*100</f>
        <v>30</v>
      </c>
      <c r="J34" s="22">
        <f>'직업패시브'!J34</f>
        <v>25</v>
      </c>
      <c r="K34" s="22">
        <f>'직업패시브'!K34</f>
        <v>30</v>
      </c>
      <c r="L34" s="22">
        <f>'직업패시브'!L34</f>
        <v>1.2</v>
      </c>
      <c r="M34" s="22">
        <f>'직업패시브'!M34</f>
        <v>0.9</v>
      </c>
    </row>
    <row r="35">
      <c r="A35" s="33" t="s">
        <v>87</v>
      </c>
      <c r="B35" s="22">
        <f>'직업패시브'!B35+'스카우터'!$E$14-10</f>
        <v>40</v>
      </c>
      <c r="C35" s="24">
        <f>'직업패시브'!C35</f>
        <v>0</v>
      </c>
      <c r="D35" s="22">
        <f>'직업패시브'!D35+'스카우터'!$E$15-10</f>
        <v>0</v>
      </c>
      <c r="E35" s="22">
        <f>'직업패시브'!E35+'무기공'!I35+'스카우터'!$E$16-3</f>
        <v>199</v>
      </c>
      <c r="F35" s="22">
        <f>'직업패시브'!F35</f>
        <v>0</v>
      </c>
      <c r="G35" s="22">
        <f>'직업패시브'!G35</f>
        <v>50</v>
      </c>
      <c r="H35" s="22">
        <f>'직업패시브'!H35</f>
        <v>0</v>
      </c>
      <c r="I35" s="22">
        <f>((1+'직업패시브'!I35/100)*if('스카우터'!$B$8="본섭",1,if('스카우터'!$C$8&lt;250,(1+'보정상수'!$F$3),(1+'보정상수'!$F$4)))-1)*100</f>
        <v>50</v>
      </c>
      <c r="J35" s="22">
        <f>'직업패시브'!J35</f>
        <v>20</v>
      </c>
      <c r="K35" s="22">
        <f>'직업패시브'!K35</f>
        <v>13</v>
      </c>
      <c r="L35" s="22">
        <f>'직업패시브'!L35</f>
        <v>1.2</v>
      </c>
      <c r="M35" s="22">
        <f>'직업패시브'!M35</f>
        <v>0.95</v>
      </c>
    </row>
    <row r="36">
      <c r="A36" s="13" t="s">
        <v>89</v>
      </c>
      <c r="B36" s="22">
        <f>'직업패시브'!B36+'스카우터'!$E$14-10</f>
        <v>40</v>
      </c>
      <c r="C36" s="24">
        <f>'직업패시브'!C36</f>
        <v>0</v>
      </c>
      <c r="D36" s="22">
        <f>'직업패시브'!D36+'스카우터'!$E$15-10</f>
        <v>0</v>
      </c>
      <c r="E36" s="22">
        <f>'직업패시브'!E36+'무기공'!I36+'스카우터'!$E$16-3</f>
        <v>249</v>
      </c>
      <c r="F36" s="22">
        <f>'직업패시브'!F36</f>
        <v>0</v>
      </c>
      <c r="G36" s="22">
        <f>'직업패시브'!G36</f>
        <v>0</v>
      </c>
      <c r="H36" s="22">
        <f>'직업패시브'!H36</f>
        <v>0</v>
      </c>
      <c r="I36" s="22">
        <f>((1+'직업패시브'!I36/100)*if('스카우터'!$B$8="본섭",1,if('스카우터'!$C$8&lt;250,(1+'보정상수'!$F$3),(1+'보정상수'!$F$4)))-1)*100</f>
        <v>33.9</v>
      </c>
      <c r="J36" s="22">
        <f>'직업패시브'!J36</f>
        <v>20</v>
      </c>
      <c r="K36" s="22">
        <f>'직업패시브'!K36</f>
        <v>13</v>
      </c>
      <c r="L36" s="22">
        <f>'직업패시브'!L36</f>
        <v>1.2</v>
      </c>
      <c r="M36" s="22">
        <f>'직업패시브'!M36</f>
        <v>0.95</v>
      </c>
    </row>
    <row r="37">
      <c r="A37" s="13" t="s">
        <v>91</v>
      </c>
      <c r="B37" s="22">
        <f>'직업패시브'!B37+'스카우터'!$E$14-10</f>
        <v>30</v>
      </c>
      <c r="C37" s="24">
        <f>'직업패시브'!C37</f>
        <v>0</v>
      </c>
      <c r="D37" s="22">
        <f>'직업패시브'!D37+'스카우터'!$E$15-10</f>
        <v>30</v>
      </c>
      <c r="E37" s="22">
        <f>'직업패시브'!E37+'무기공'!I37+'스카우터'!$E$16-3</f>
        <v>-78</v>
      </c>
      <c r="F37" s="22">
        <f>'직업패시브'!F37</f>
        <v>30</v>
      </c>
      <c r="G37" s="22">
        <f>'직업패시브'!G37</f>
        <v>0</v>
      </c>
      <c r="H37" s="22">
        <f>'직업패시브'!H37</f>
        <v>20</v>
      </c>
      <c r="I37" s="22">
        <f>((1+'직업패시브'!I37/100)*if('스카우터'!$B$8="본섭",1,if('스카우터'!$C$8&lt;250,(1+'보정상수'!$F$3),(1+'보정상수'!$F$4)))-1)*100</f>
        <v>0</v>
      </c>
      <c r="J37" s="22">
        <f>'직업패시브'!J37</f>
        <v>0</v>
      </c>
      <c r="K37" s="22">
        <f>'직업패시브'!K37</f>
        <v>15</v>
      </c>
      <c r="L37" s="22">
        <f>'직업패시브'!L37</f>
        <v>1.7</v>
      </c>
      <c r="M37" s="22">
        <f>'직업패시브'!M37</f>
        <v>0.9</v>
      </c>
    </row>
    <row r="38">
      <c r="A38" s="13" t="s">
        <v>93</v>
      </c>
      <c r="B38" s="22">
        <f>'직업패시브'!B38+'스카우터'!$E$14-10</f>
        <v>247.5</v>
      </c>
      <c r="C38" s="24">
        <f>'직업패시브'!C38</f>
        <v>0</v>
      </c>
      <c r="D38" s="22">
        <f>'직업패시브'!D38+'스카우터'!$E$15-10</f>
        <v>50</v>
      </c>
      <c r="E38" s="22">
        <f>'직업패시브'!E38+'무기공'!I38+'스카우터'!$E$16-3</f>
        <v>215</v>
      </c>
      <c r="F38" s="22">
        <f>'직업패시브'!F38</f>
        <v>10</v>
      </c>
      <c r="G38" s="22">
        <f>'직업패시브'!G38</f>
        <v>0</v>
      </c>
      <c r="H38" s="22">
        <f>'직업패시브'!H38</f>
        <v>15</v>
      </c>
      <c r="I38" s="22">
        <f>((1+'직업패시브'!I38/100)*if('스카우터'!$B$8="본섭",1,if('스카우터'!$C$8&lt;250,(1+'보정상수'!$F$3),(1+'보정상수'!$F$4)))-1)*100</f>
        <v>25</v>
      </c>
      <c r="J38" s="22">
        <f>'직업패시브'!J38</f>
        <v>37</v>
      </c>
      <c r="K38" s="22">
        <f>'직업패시브'!K38</f>
        <v>15</v>
      </c>
      <c r="L38" s="22">
        <f>'직업패시브'!L38</f>
        <v>1.34</v>
      </c>
      <c r="M38" s="22">
        <f>'직업패시브'!M38</f>
        <v>0.9</v>
      </c>
    </row>
    <row r="39">
      <c r="A39" s="13" t="s">
        <v>95</v>
      </c>
      <c r="B39" s="22">
        <f>'직업패시브'!B39+'스카우터'!$E$14-10</f>
        <v>197.5</v>
      </c>
      <c r="C39" s="24">
        <f>'직업패시브'!C39</f>
        <v>0</v>
      </c>
      <c r="D39" s="22">
        <f>'직업패시브'!D39+'스카우터'!$E$15-10</f>
        <v>0</v>
      </c>
      <c r="E39" s="22">
        <f>'직업패시브'!E39+'무기공'!I39+'스카우터'!$E$16-3</f>
        <v>224</v>
      </c>
      <c r="F39" s="22">
        <f>'직업패시브'!F39</f>
        <v>10</v>
      </c>
      <c r="G39" s="22">
        <f>'직업패시브'!G39</f>
        <v>0</v>
      </c>
      <c r="H39" s="22">
        <f>'직업패시브'!H39</f>
        <v>0</v>
      </c>
      <c r="I39" s="22">
        <f>((1+'직업패시브'!I39/100)*if('스카우터'!$B$8="본섭",1,if('스카우터'!$C$8&lt;250,(1+'보정상수'!$F$3),(1+'보정상수'!$F$4)))-1)*100</f>
        <v>95</v>
      </c>
      <c r="J39" s="22">
        <f>'직업패시브'!J39</f>
        <v>30</v>
      </c>
      <c r="K39" s="22">
        <f>'직업패시브'!K39</f>
        <v>20</v>
      </c>
      <c r="L39" s="22">
        <f>'직업패시브'!L39</f>
        <v>1.2</v>
      </c>
      <c r="M39" s="22">
        <f>'직업패시브'!M39</f>
        <v>0.95</v>
      </c>
    </row>
    <row r="40">
      <c r="A40" s="13" t="s">
        <v>97</v>
      </c>
      <c r="B40" s="22">
        <f>'직업패시브'!B40+'스카우터'!$E$14-10</f>
        <v>187.5</v>
      </c>
      <c r="C40" s="24">
        <f>'직업패시브'!C40</f>
        <v>0.15</v>
      </c>
      <c r="D40" s="22">
        <f>'직업패시브'!D40+'스카우터'!$E$15-10</f>
        <v>30</v>
      </c>
      <c r="E40" s="22">
        <f>'직업패시브'!E40+'무기공'!I40+'스카우터'!$E$16-3</f>
        <v>82</v>
      </c>
      <c r="F40" s="22">
        <f>'직업패시브'!F40</f>
        <v>20</v>
      </c>
      <c r="G40" s="22">
        <f>'직업패시브'!G40</f>
        <v>35</v>
      </c>
      <c r="H40" s="22">
        <f>'직업패시브'!H40</f>
        <v>40</v>
      </c>
      <c r="I40" s="22">
        <f>((1+'직업패시브'!I40/100)*if('스카우터'!$B$8="본섭",1,if('스카우터'!$C$8&lt;250,(1+'보정상수'!$F$3),(1+'보정상수'!$F$4)))-1)*100</f>
        <v>25</v>
      </c>
      <c r="J40" s="22">
        <f>'직업패시브'!J40</f>
        <v>15</v>
      </c>
      <c r="K40" s="22">
        <f>'직업패시브'!K40</f>
        <v>28</v>
      </c>
      <c r="L40" s="22">
        <f>'직업패시브'!L40</f>
        <v>1.3</v>
      </c>
      <c r="M40" s="22">
        <f>'직업패시브'!M40</f>
        <v>0.85</v>
      </c>
    </row>
    <row r="41">
      <c r="A41" s="13" t="s">
        <v>99</v>
      </c>
      <c r="B41" s="22">
        <f>'직업패시브'!B41+'스카우터'!$E$14-10</f>
        <v>197.5</v>
      </c>
      <c r="C41" s="24">
        <f>'직업패시브'!C41</f>
        <v>0</v>
      </c>
      <c r="D41" s="22">
        <f>'직업패시브'!D41+'스카우터'!$E$15-10</f>
        <v>0</v>
      </c>
      <c r="E41" s="22">
        <f>'직업패시브'!E41+'무기공'!I41+'스카우터'!$E$16-3</f>
        <v>-236</v>
      </c>
      <c r="F41" s="22">
        <f>'직업패시브'!F41</f>
        <v>10</v>
      </c>
      <c r="G41" s="22">
        <f>'직업패시브'!G41</f>
        <v>30</v>
      </c>
      <c r="H41" s="22">
        <f>'직업패시브'!H41</f>
        <v>0</v>
      </c>
      <c r="I41" s="22">
        <f>((1+'직업패시브'!I41/100)*if('스카우터'!$B$8="본섭",1,if('스카우터'!$C$8&lt;250,(1+'보정상수'!$F$3),(1+'보정상수'!$F$4)))-1)*100</f>
        <v>15</v>
      </c>
      <c r="J41" s="22">
        <f>'직업패시브'!J41</f>
        <v>15</v>
      </c>
      <c r="K41" s="22">
        <f>'직업패시브'!K41</f>
        <v>30</v>
      </c>
      <c r="L41" s="22">
        <f>'직업패시브'!L41</f>
        <v>1.75</v>
      </c>
      <c r="M41" s="22">
        <f>'직업패시브'!M41</f>
        <v>0.85</v>
      </c>
    </row>
    <row r="42">
      <c r="A42" s="13" t="s">
        <v>100</v>
      </c>
      <c r="B42" s="22">
        <f>'직업패시브'!B42+'스카우터'!$E$14-10</f>
        <v>197.5</v>
      </c>
      <c r="C42" s="24">
        <f>'직업패시브'!C42</f>
        <v>0</v>
      </c>
      <c r="D42" s="22">
        <f>'직업패시브'!D42+'스카우터'!$E$15-10</f>
        <v>0</v>
      </c>
      <c r="E42" s="22">
        <f>'직업패시브'!E42+'무기공'!I42+'스카우터'!$E$16-3</f>
        <v>-113</v>
      </c>
      <c r="F42" s="22">
        <f>'직업패시브'!F42</f>
        <v>10</v>
      </c>
      <c r="G42" s="22">
        <f>'직업패시브'!G42</f>
        <v>5</v>
      </c>
      <c r="H42" s="22">
        <f>'직업패시브'!H42</f>
        <v>0</v>
      </c>
      <c r="I42" s="22">
        <f>((1+'직업패시브'!I42/100)*if('스카우터'!$B$8="본섭",1,if('스카우터'!$C$8&lt;250,(1+'보정상수'!$F$3),(1+'보정상수'!$F$4)))-1)*100</f>
        <v>20</v>
      </c>
      <c r="J42" s="22">
        <f>'직업패시브'!J42</f>
        <v>9</v>
      </c>
      <c r="K42" s="22">
        <f>'직업패시브'!K42</f>
        <v>45</v>
      </c>
      <c r="L42" s="22">
        <f>'직업패시브'!L42</f>
        <v>1.7</v>
      </c>
      <c r="M42" s="22">
        <f>'직업패시브'!M42</f>
        <v>0.9</v>
      </c>
    </row>
    <row r="43">
      <c r="A43" s="13" t="s">
        <v>102</v>
      </c>
      <c r="B43" s="22">
        <f>'직업패시브'!B43+'스카우터'!$E$14-10</f>
        <v>90</v>
      </c>
      <c r="C43" s="24">
        <f>'직업패시브'!C43</f>
        <v>0</v>
      </c>
      <c r="D43" s="22">
        <f>'직업패시브'!D43+'스카우터'!$E$15-10</f>
        <v>30</v>
      </c>
      <c r="E43" s="22">
        <f>'직업패시브'!E43+'무기공'!I43+'스카우터'!$E$16-3</f>
        <v>83</v>
      </c>
      <c r="F43" s="22">
        <f>'직업패시브'!F43</f>
        <v>10</v>
      </c>
      <c r="G43" s="22">
        <f>'직업패시브'!G43</f>
        <v>60</v>
      </c>
      <c r="H43" s="22">
        <f>'직업패시브'!H43</f>
        <v>0</v>
      </c>
      <c r="I43" s="22">
        <f>((1+'직업패시브'!I43/100)*if('스카우터'!$B$8="본섭",1,if('스카우터'!$C$8&lt;250,(1+'보정상수'!$F$3),(1+'보정상수'!$F$4)))-1)*100</f>
        <v>64.45</v>
      </c>
      <c r="J43" s="22">
        <f>'직업패시브'!J43</f>
        <v>40</v>
      </c>
      <c r="K43" s="22">
        <f>'직업패시브'!K43</f>
        <v>20</v>
      </c>
      <c r="L43" s="22">
        <f>'직업패시브'!L43</f>
        <v>1.2</v>
      </c>
      <c r="M43" s="22">
        <f>'직업패시브'!M43</f>
        <v>0.9</v>
      </c>
    </row>
    <row r="44">
      <c r="A44" s="13" t="s">
        <v>104</v>
      </c>
      <c r="B44" s="22">
        <f>'직업패시브'!B44+'스카우터'!$E$14-10</f>
        <v>40</v>
      </c>
      <c r="C44" s="24">
        <f>'직업패시브'!C44</f>
        <v>0</v>
      </c>
      <c r="D44" s="22">
        <f>'직업패시브'!D44+'스카우터'!$E$15-10</f>
        <v>0</v>
      </c>
      <c r="E44" s="22">
        <f>'직업패시브'!E44+'무기공'!I44+'스카우터'!$E$16-3</f>
        <v>209</v>
      </c>
      <c r="F44" s="22">
        <f>'직업패시브'!F44</f>
        <v>40</v>
      </c>
      <c r="G44" s="22">
        <f>'직업패시브'!G44</f>
        <v>70</v>
      </c>
      <c r="H44" s="22">
        <f>'직업패시브'!H44</f>
        <v>0</v>
      </c>
      <c r="I44" s="22">
        <f>((1+'직업패시브'!I44/100)*if('스카우터'!$B$8="본섭",1,if('스카우터'!$C$8&lt;250,(1+'보정상수'!$F$3),(1+'보정상수'!$F$4)))-1)*100</f>
        <v>15</v>
      </c>
      <c r="J44" s="22">
        <f>'직업패시브'!J44</f>
        <v>30</v>
      </c>
      <c r="K44" s="22">
        <f>'직업패시브'!K44</f>
        <v>50</v>
      </c>
      <c r="L44" s="22">
        <f>'직업패시브'!L44</f>
        <v>1.2</v>
      </c>
      <c r="M44" s="22">
        <f>'직업패시브'!M44</f>
        <v>0.95</v>
      </c>
    </row>
    <row r="45">
      <c r="A45" s="13" t="s">
        <v>106</v>
      </c>
      <c r="B45" s="22">
        <f>'직업패시브'!B45+'스카우터'!$E$14-10</f>
        <v>130</v>
      </c>
      <c r="C45" s="24">
        <f>'직업패시브'!C45</f>
        <v>0</v>
      </c>
      <c r="D45" s="22">
        <f>'직업패시브'!D45+'스카우터'!$E$15-10</f>
        <v>70</v>
      </c>
      <c r="E45" s="22">
        <f>'직업패시브'!E45+'무기공'!I45+'스카우터'!$E$16-3</f>
        <v>73</v>
      </c>
      <c r="F45" s="22">
        <f>'직업패시브'!F45</f>
        <v>35</v>
      </c>
      <c r="G45" s="22">
        <f>'직업패시브'!G45</f>
        <v>10</v>
      </c>
      <c r="H45" s="22">
        <f>'직업패시브'!H45</f>
        <v>10</v>
      </c>
      <c r="I45" s="22">
        <f>((1+'직업패시브'!I45/100)*if('스카우터'!$B$8="본섭",1,if('스카우터'!$C$8&lt;250,(1+'보정상수'!$F$3),(1+'보정상수'!$F$4)))-1)*100</f>
        <v>20</v>
      </c>
      <c r="J45" s="22">
        <f>'직업패시브'!J45</f>
        <v>30</v>
      </c>
      <c r="K45" s="22">
        <f>'직업패시브'!K45</f>
        <v>48</v>
      </c>
      <c r="L45" s="22">
        <f>'직업패시브'!L45</f>
        <v>1.35</v>
      </c>
      <c r="M45" s="22">
        <f>'직업패시브'!M45</f>
        <v>0.85</v>
      </c>
    </row>
    <row r="46">
      <c r="A46" s="13" t="s">
        <v>108</v>
      </c>
      <c r="B46" s="22">
        <f>'직업패시브'!B46+'스카우터'!$E$14-10</f>
        <v>30</v>
      </c>
      <c r="C46" s="24">
        <f>'직업패시브'!C46</f>
        <v>0</v>
      </c>
      <c r="D46" s="22">
        <f>'직업패시브'!D46+'스카우터'!$E$15-10</f>
        <v>30</v>
      </c>
      <c r="E46" s="22">
        <f>'직업패시브'!E46+'무기공'!I46+'스카우터'!$E$16-3</f>
        <v>73</v>
      </c>
      <c r="F46" s="22">
        <f>'직업패시브'!F46</f>
        <v>0</v>
      </c>
      <c r="G46" s="22">
        <f>'직업패시브'!G46</f>
        <v>35</v>
      </c>
      <c r="H46" s="22">
        <f>'직업패시브'!H46</f>
        <v>0</v>
      </c>
      <c r="I46" s="22">
        <f>((1+'직업패시브'!I46/100)*if('스카우터'!$B$8="본섭",1,if('스카우터'!$C$8&lt;250,(1+'보정상수'!$F$3),(1+'보정상수'!$F$4)))-1)*100</f>
        <v>25</v>
      </c>
      <c r="J46" s="22">
        <f>'직업패시브'!J46</f>
        <v>30</v>
      </c>
      <c r="K46" s="22">
        <f>'직업패시브'!K46</f>
        <v>15</v>
      </c>
      <c r="L46" s="22">
        <f>'직업패시브'!L46</f>
        <v>1.2</v>
      </c>
      <c r="M46" s="22">
        <f>'직업패시브'!M46</f>
        <v>0.9</v>
      </c>
    </row>
    <row r="47">
      <c r="A47" s="13" t="s">
        <v>110</v>
      </c>
      <c r="B47" s="22">
        <f>'직업패시브'!B47+'스카우터'!$E$14-10</f>
        <v>40</v>
      </c>
      <c r="C47" s="24">
        <f>'직업패시브'!C47</f>
        <v>0</v>
      </c>
      <c r="D47" s="22">
        <f>'직업패시브'!D47+'스카우터'!$E$15-10</f>
        <v>0</v>
      </c>
      <c r="E47" s="22">
        <f>'직업패시브'!E47+'무기공'!I47+'스카우터'!$E$16-3</f>
        <v>303</v>
      </c>
      <c r="F47" s="22">
        <f>'직업패시브'!F47</f>
        <v>10</v>
      </c>
      <c r="G47" s="22">
        <f>'직업패시브'!G47</f>
        <v>20</v>
      </c>
      <c r="H47" s="22">
        <f>'직업패시브'!H47</f>
        <v>30</v>
      </c>
      <c r="I47" s="22">
        <f>((1+'직업패시브'!I47/100)*if('스카우터'!$B$8="본섭",1,if('스카우터'!$C$8&lt;250,(1+'보정상수'!$F$3),(1+'보정상수'!$F$4)))-1)*100</f>
        <v>35</v>
      </c>
      <c r="J47" s="22">
        <f>'직업패시브'!J47</f>
        <v>25</v>
      </c>
      <c r="K47" s="22">
        <f>'직업패시브'!K47</f>
        <v>30</v>
      </c>
      <c r="L47" s="22">
        <f>'직업패시브'!L47</f>
        <v>1.2</v>
      </c>
      <c r="M47" s="22">
        <f>'직업패시브'!M47</f>
        <v>0.9</v>
      </c>
    </row>
    <row r="48">
      <c r="A48" s="13" t="s">
        <v>112</v>
      </c>
      <c r="B48" s="22">
        <f>'직업패시브'!B48+'스카우터'!$E$14-10</f>
        <v>60</v>
      </c>
      <c r="C48" s="24">
        <f>'직업패시브'!C48</f>
        <v>0</v>
      </c>
      <c r="D48" s="22">
        <f>'직업패시브'!D48+'스카우터'!$E$15-10</f>
        <v>0</v>
      </c>
      <c r="E48" s="22">
        <f>'직업패시브'!E48+'무기공'!I48+'스카우터'!$E$16-3</f>
        <v>67</v>
      </c>
      <c r="F48" s="22">
        <f>'직업패시브'!F48</f>
        <v>0</v>
      </c>
      <c r="G48" s="22">
        <f>'직업패시브'!G48</f>
        <v>10</v>
      </c>
      <c r="H48" s="22">
        <f>'직업패시브'!H48</f>
        <v>10</v>
      </c>
      <c r="I48" s="22">
        <f>((1+'직업패시브'!I48/100)*if('스카우터'!$B$8="본섭",1,if('스카우터'!$C$8&lt;250,(1+'보정상수'!$F$3),(1+'보정상수'!$F$4)))-1)*100</f>
        <v>87</v>
      </c>
      <c r="J48" s="22">
        <f>'직업패시브'!J48</f>
        <v>37</v>
      </c>
      <c r="K48" s="22">
        <f>'직업패시브'!K48</f>
        <v>40</v>
      </c>
      <c r="L48" s="22">
        <f>'직업패시브'!L48</f>
        <v>1.3</v>
      </c>
      <c r="M48" s="22">
        <f>'직업패시브'!M48</f>
        <v>0.85</v>
      </c>
    </row>
    <row r="49">
      <c r="A49" s="13" t="s">
        <v>113</v>
      </c>
      <c r="B49" s="22">
        <f>'직업패시브'!B49+'스카우터'!$E$14-10</f>
        <v>40</v>
      </c>
      <c r="C49" s="24">
        <f>'직업패시브'!C49</f>
        <v>0</v>
      </c>
      <c r="D49" s="22">
        <f>'직업패시브'!D49+'스카우터'!$E$15-10</f>
        <v>0</v>
      </c>
      <c r="E49" s="22">
        <f>'직업패시브'!E49+'무기공'!I49+'스카우터'!$E$16-3</f>
        <v>252</v>
      </c>
      <c r="F49" s="22">
        <f>'직업패시브'!F49</f>
        <v>0</v>
      </c>
      <c r="G49" s="22">
        <f>'직업패시브'!G49</f>
        <v>25</v>
      </c>
      <c r="H49" s="22">
        <f>'직업패시브'!H49</f>
        <v>10</v>
      </c>
      <c r="I49" s="22">
        <f>((1+'직업패시브'!I49/100)*if('스카우터'!$B$8="본섭",1,if('스카우터'!$C$8&lt;250,(1+'보정상수'!$F$3),(1+'보정상수'!$F$4)))-1)*100</f>
        <v>97.92</v>
      </c>
      <c r="J49" s="22">
        <f>'직업패시브'!J49</f>
        <v>40</v>
      </c>
      <c r="K49" s="22">
        <f>'직업패시브'!K49</f>
        <v>20</v>
      </c>
      <c r="L49" s="22">
        <f>'직업패시브'!L49</f>
        <v>1.2</v>
      </c>
      <c r="M49" s="22">
        <f>'직업패시브'!M49</f>
        <v>0.95</v>
      </c>
    </row>
    <row r="50">
      <c r="A50" s="1"/>
      <c r="B50" s="1"/>
      <c r="C50" s="24" t="str">
        <f>'직업패시브'!C50</f>
        <v/>
      </c>
      <c r="D50" s="1"/>
      <c r="E50" s="1"/>
      <c r="F50" s="1"/>
      <c r="G50" s="1"/>
      <c r="H50" s="1"/>
      <c r="I50" s="1"/>
      <c r="J50" s="1"/>
      <c r="K50" s="1"/>
      <c r="L50" s="1"/>
      <c r="M50" s="1"/>
    </row>
    <row r="51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>
      <c r="A57" s="1"/>
      <c r="B57" s="1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>
      <c r="A58" s="1"/>
      <c r="B58" s="1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/>
      <c r="B59" s="1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>
      <c r="A60" s="1"/>
      <c r="B60" s="1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>
      <c r="A62" s="1"/>
      <c r="B62" s="1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/>
      <c r="B73" s="1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>
      <c r="A76" s="1"/>
      <c r="B76" s="1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>
      <c r="A77" s="1"/>
      <c r="B77" s="1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>
      <c r="A78" s="1"/>
      <c r="B78" s="1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/>
      <c r="B79" s="1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>
      <c r="A81" s="1"/>
      <c r="B81" s="1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>
      <c r="A83" s="1"/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>
      <c r="A84" s="1"/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1">
    <mergeCell ref="B5:M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2"/>
    </row>
    <row r="2">
      <c r="B2" s="5" t="s">
        <v>0</v>
      </c>
      <c r="C2" s="7"/>
      <c r="E2" s="5" t="s">
        <v>1</v>
      </c>
      <c r="F2" s="7"/>
    </row>
    <row r="3">
      <c r="B3" s="8" t="s">
        <v>2</v>
      </c>
      <c r="C3" s="9">
        <v>0.0</v>
      </c>
      <c r="E3" s="8" t="s">
        <v>3</v>
      </c>
      <c r="F3" s="9">
        <v>0.6</v>
      </c>
    </row>
    <row r="4">
      <c r="B4" s="8" t="s">
        <v>4</v>
      </c>
      <c r="C4" s="9">
        <v>0.07</v>
      </c>
      <c r="E4" s="8" t="s">
        <v>5</v>
      </c>
      <c r="F4" s="9">
        <v>0.65</v>
      </c>
    </row>
    <row r="5">
      <c r="B5" s="8" t="s">
        <v>6</v>
      </c>
      <c r="C5" s="9">
        <v>0.12</v>
      </c>
      <c r="E5" s="8" t="s">
        <v>7</v>
      </c>
      <c r="F5" s="9">
        <v>0.7</v>
      </c>
    </row>
    <row r="6">
      <c r="B6" s="8" t="s">
        <v>9</v>
      </c>
      <c r="C6" s="9">
        <v>0.19</v>
      </c>
    </row>
    <row r="7">
      <c r="B7" s="8" t="s">
        <v>10</v>
      </c>
      <c r="C7" s="9">
        <v>0.24</v>
      </c>
      <c r="D7" s="11"/>
    </row>
    <row r="8">
      <c r="B8" s="8" t="s">
        <v>13</v>
      </c>
      <c r="C8" s="9">
        <v>0.31</v>
      </c>
    </row>
    <row r="9">
      <c r="B9" s="8" t="s">
        <v>14</v>
      </c>
      <c r="C9" s="9">
        <v>0.36</v>
      </c>
    </row>
    <row r="10">
      <c r="B10" s="8" t="s">
        <v>16</v>
      </c>
      <c r="C10" s="9">
        <v>0.43</v>
      </c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  <c r="D35" s="25" t="s">
        <v>34</v>
      </c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</sheetData>
  <mergeCells count="2">
    <mergeCell ref="B2:C2"/>
    <mergeCell ref="E2:F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0.0"/>
    <col customWidth="1" min="3" max="3" width="9.25"/>
    <col customWidth="1" min="4" max="4" width="10.25"/>
    <col customWidth="1" min="5" max="5" width="9.38"/>
    <col customWidth="1" min="6" max="6" width="5.0"/>
    <col customWidth="1" min="7" max="7" width="14.63"/>
    <col customWidth="1" min="8" max="8" width="6.13"/>
    <col customWidth="1" min="11" max="11" width="16.63"/>
    <col customWidth="1" min="12" max="12" width="6.5"/>
  </cols>
  <sheetData>
    <row r="1" ht="18.0" customHeight="1">
      <c r="B1" s="148"/>
      <c r="C1" s="148"/>
      <c r="D1" s="148"/>
      <c r="E1" s="148"/>
    </row>
    <row r="2">
      <c r="B2" s="149" t="s">
        <v>182</v>
      </c>
      <c r="C2" s="38"/>
      <c r="D2" s="38"/>
      <c r="E2" s="39"/>
      <c r="G2" s="25" t="s">
        <v>307</v>
      </c>
    </row>
    <row r="3">
      <c r="B3" s="150" t="s">
        <v>33</v>
      </c>
      <c r="C3" s="43"/>
      <c r="D3" s="43"/>
      <c r="E3" s="44"/>
    </row>
    <row r="4">
      <c r="B4" s="149" t="s">
        <v>32</v>
      </c>
      <c r="C4" s="38"/>
      <c r="D4" s="38"/>
      <c r="E4" s="39"/>
      <c r="F4" s="151"/>
      <c r="G4" s="25"/>
      <c r="H4" s="25"/>
      <c r="I4" s="25"/>
      <c r="J4" s="151"/>
      <c r="K4" s="151"/>
      <c r="L4" s="151"/>
    </row>
    <row r="5">
      <c r="B5" s="152" t="str">
        <f>"시드링착용, 노도핑, 
"&amp;vlookup(B3,'직업패시브'!O:P,2,0)&amp;", 쓸만한 컴뱃 오더스X"</f>
        <v>시드링착용, 노도핑, 
레조스택x, 메용사용, 쓸만한 컴뱃 오더스X</v>
      </c>
      <c r="C5" s="38"/>
      <c r="D5" s="38"/>
      <c r="E5" s="39"/>
      <c r="F5" s="151"/>
      <c r="G5" s="25"/>
      <c r="H5" s="25"/>
      <c r="I5" s="25"/>
      <c r="J5" s="151"/>
      <c r="K5" s="151"/>
      <c r="L5" s="151"/>
    </row>
    <row r="6" ht="24.0" customHeight="1">
      <c r="B6" s="153"/>
      <c r="C6" s="154"/>
      <c r="D6" s="154"/>
      <c r="E6" s="155"/>
      <c r="F6" s="151"/>
      <c r="G6" s="25"/>
      <c r="H6" s="25"/>
      <c r="I6" s="25"/>
      <c r="J6" s="151"/>
      <c r="K6" s="151"/>
      <c r="L6" s="151"/>
    </row>
    <row r="7">
      <c r="B7" s="156" t="s">
        <v>308</v>
      </c>
      <c r="C7" s="157" t="s">
        <v>118</v>
      </c>
      <c r="D7" s="158" t="s">
        <v>309</v>
      </c>
      <c r="E7" s="159" t="s">
        <v>310</v>
      </c>
      <c r="F7" s="151"/>
      <c r="G7" s="25"/>
      <c r="H7" s="25"/>
      <c r="I7" s="25"/>
      <c r="J7" s="151"/>
      <c r="K7" s="151"/>
      <c r="L7" s="151"/>
    </row>
    <row r="8">
      <c r="B8" s="160" t="s">
        <v>311</v>
      </c>
      <c r="C8" s="72">
        <v>275.0</v>
      </c>
      <c r="D8" s="161" t="b">
        <v>1</v>
      </c>
      <c r="E8" s="162" t="s">
        <v>312</v>
      </c>
      <c r="F8" s="148"/>
      <c r="G8" s="151"/>
      <c r="H8" s="151"/>
      <c r="I8" s="151"/>
      <c r="J8" s="151"/>
      <c r="K8" s="151"/>
      <c r="L8" s="151"/>
    </row>
    <row r="9">
      <c r="B9" s="163" t="s">
        <v>313</v>
      </c>
      <c r="C9" s="72">
        <v>55784.0</v>
      </c>
      <c r="D9" s="164" t="s">
        <v>314</v>
      </c>
      <c r="E9" s="135"/>
      <c r="F9" s="148"/>
      <c r="G9" s="151"/>
      <c r="H9" s="151"/>
      <c r="I9" s="151"/>
      <c r="J9" s="151"/>
      <c r="K9" s="151"/>
      <c r="L9" s="151"/>
    </row>
    <row r="10">
      <c r="B10" s="163" t="s">
        <v>193</v>
      </c>
      <c r="C10" s="72">
        <v>54277.0</v>
      </c>
      <c r="D10" s="165" t="s">
        <v>315</v>
      </c>
      <c r="E10" s="135"/>
      <c r="F10" s="148"/>
      <c r="G10" s="151"/>
      <c r="H10" s="151"/>
      <c r="I10" s="151"/>
      <c r="J10" s="151"/>
      <c r="K10" s="151"/>
      <c r="L10" s="151"/>
    </row>
    <row r="11">
      <c r="B11" s="163" t="s">
        <v>18</v>
      </c>
      <c r="C11" s="72">
        <v>8395.0</v>
      </c>
      <c r="D11" s="164" t="s">
        <v>255</v>
      </c>
      <c r="E11" s="135"/>
      <c r="F11" s="148"/>
      <c r="G11" s="166"/>
      <c r="H11" s="166"/>
      <c r="I11" s="166"/>
      <c r="J11" s="167"/>
      <c r="K11" s="166"/>
      <c r="L11" s="167"/>
    </row>
    <row r="12">
      <c r="B12" s="163" t="s">
        <v>316</v>
      </c>
      <c r="C12" s="72">
        <v>0.0</v>
      </c>
      <c r="D12" s="168" t="s">
        <v>10</v>
      </c>
      <c r="E12" s="169"/>
      <c r="F12" s="148"/>
      <c r="J12" s="151"/>
      <c r="K12" s="151"/>
      <c r="L12" s="151"/>
    </row>
    <row r="13">
      <c r="B13" s="163" t="s">
        <v>194</v>
      </c>
      <c r="C13" s="72">
        <v>4.676006E7</v>
      </c>
      <c r="D13" s="170" t="s">
        <v>317</v>
      </c>
      <c r="E13" s="171"/>
      <c r="F13" s="172" t="s">
        <v>318</v>
      </c>
      <c r="J13" s="148"/>
      <c r="K13" s="148"/>
      <c r="L13" s="151"/>
    </row>
    <row r="14">
      <c r="B14" s="163" t="s">
        <v>196</v>
      </c>
      <c r="C14" s="72">
        <v>67.0</v>
      </c>
      <c r="D14" s="173" t="s">
        <v>119</v>
      </c>
      <c r="E14" s="174">
        <v>10.0</v>
      </c>
      <c r="F14" s="151">
        <v>10.0</v>
      </c>
      <c r="J14" s="151"/>
      <c r="K14" s="151"/>
      <c r="L14" s="151"/>
    </row>
    <row r="15">
      <c r="B15" s="163" t="s">
        <v>319</v>
      </c>
      <c r="C15" s="72">
        <v>398.0</v>
      </c>
      <c r="D15" s="173" t="s">
        <v>18</v>
      </c>
      <c r="E15" s="175">
        <v>10.0</v>
      </c>
      <c r="F15" s="151">
        <v>10.0</v>
      </c>
      <c r="J15" s="151"/>
      <c r="K15" s="151"/>
      <c r="L15" s="151"/>
    </row>
    <row r="16">
      <c r="B16" s="163" t="s">
        <v>28</v>
      </c>
      <c r="C16" s="72">
        <v>89.03</v>
      </c>
      <c r="D16" s="173" t="s">
        <v>204</v>
      </c>
      <c r="E16" s="174">
        <v>3.0</v>
      </c>
      <c r="F16" s="151">
        <v>3.0</v>
      </c>
      <c r="J16" s="148"/>
      <c r="K16" s="148"/>
      <c r="L16" s="151"/>
    </row>
    <row r="17">
      <c r="B17" s="163" t="s">
        <v>213</v>
      </c>
      <c r="C17" s="72">
        <v>82.0</v>
      </c>
      <c r="D17" s="176" t="s">
        <v>27</v>
      </c>
      <c r="E17" s="7"/>
      <c r="F17" s="148"/>
      <c r="J17" s="151"/>
      <c r="K17" s="151"/>
      <c r="L17" s="151"/>
    </row>
    <row r="18">
      <c r="B18" s="177" t="s">
        <v>320</v>
      </c>
      <c r="C18" s="114">
        <v>99.0</v>
      </c>
      <c r="D18" s="178">
        <f>vlookup(B3,'보정패시브'!A:I,9,0)</f>
        <v>49.5</v>
      </c>
      <c r="E18" s="179"/>
      <c r="F18" s="148"/>
      <c r="J18" s="151"/>
      <c r="K18" s="151"/>
      <c r="L18" s="151"/>
    </row>
    <row r="19">
      <c r="B19" s="180" t="s">
        <v>218</v>
      </c>
      <c r="C19" s="181">
        <v>13200.0</v>
      </c>
      <c r="D19" s="182" t="s">
        <v>321</v>
      </c>
      <c r="E19" s="183">
        <f>'계산'!F19</f>
        <v>5433</v>
      </c>
      <c r="F19" s="148"/>
      <c r="J19" s="151"/>
      <c r="K19" s="151"/>
      <c r="L19" s="151"/>
    </row>
    <row r="20">
      <c r="B20" s="184" t="s">
        <v>219</v>
      </c>
      <c r="C20" s="185">
        <v>1300.0</v>
      </c>
      <c r="D20" s="186" t="s">
        <v>15</v>
      </c>
      <c r="E20" s="187">
        <f>'계산'!F12</f>
        <v>6.25</v>
      </c>
      <c r="F20" s="148"/>
      <c r="J20" s="151"/>
      <c r="K20" s="151"/>
      <c r="L20" s="151"/>
    </row>
    <row r="21">
      <c r="B21" s="184" t="s">
        <v>222</v>
      </c>
      <c r="C21" s="185">
        <v>150.0</v>
      </c>
      <c r="D21" s="188" t="s">
        <v>204</v>
      </c>
      <c r="E21" s="189">
        <f>'계산'!I13</f>
        <v>2978</v>
      </c>
      <c r="F21" s="148"/>
      <c r="J21" s="148"/>
      <c r="K21" s="148"/>
      <c r="L21" s="151"/>
    </row>
    <row r="22">
      <c r="B22" s="190" t="s">
        <v>225</v>
      </c>
      <c r="C22" s="191">
        <v>240.0</v>
      </c>
      <c r="D22" s="192" t="s">
        <v>322</v>
      </c>
      <c r="E22" s="193">
        <f>'계산'!I10</f>
        <v>109</v>
      </c>
      <c r="F22" s="148"/>
      <c r="J22" s="151"/>
      <c r="K22" s="151"/>
      <c r="L22" s="151"/>
    </row>
    <row r="23">
      <c r="B23" s="194" t="s">
        <v>323</v>
      </c>
      <c r="C23" s="38"/>
      <c r="D23" s="38"/>
      <c r="E23" s="39"/>
      <c r="F23" s="148"/>
      <c r="J23" s="151"/>
      <c r="K23" s="151"/>
      <c r="L23" s="151"/>
    </row>
    <row r="24">
      <c r="B24" s="195"/>
      <c r="E24" s="196"/>
      <c r="F24" s="148"/>
      <c r="G24" s="197" t="s">
        <v>324</v>
      </c>
      <c r="H24" s="43"/>
      <c r="I24" s="43"/>
      <c r="J24" s="43"/>
      <c r="K24" s="44"/>
      <c r="L24" s="198"/>
    </row>
    <row r="25">
      <c r="B25" s="199">
        <f>'계산'!B41</f>
        <v>56554</v>
      </c>
      <c r="C25" s="38"/>
      <c r="D25" s="200" t="str">
        <f>if(B25-$C$9&gt;10000,"새틀라이트",if(B25-$C$9&gt;4500,"지옥불",if(B25-$C$9&gt;1500,"불",if(B25-$C$9&gt;-1500 ,"적정",if(B25-$C$9&gt;-4500,"물",if(B25-$C$9&gt;-7500,"맹물","스탯딸"))))))</f>
        <v>적정</v>
      </c>
      <c r="E25" s="39"/>
      <c r="F25" s="148"/>
      <c r="G25" s="201" t="s">
        <v>12</v>
      </c>
      <c r="H25" s="202">
        <v>0.0</v>
      </c>
      <c r="I25" s="203" t="s">
        <v>325</v>
      </c>
      <c r="J25" s="38"/>
      <c r="K25" s="39"/>
      <c r="L25" s="204"/>
    </row>
    <row r="26">
      <c r="B26" s="195"/>
      <c r="E26" s="196"/>
      <c r="F26" s="148"/>
      <c r="G26" s="205" t="s">
        <v>15</v>
      </c>
      <c r="H26" s="206">
        <v>0.0</v>
      </c>
      <c r="I26" s="153"/>
      <c r="J26" s="154"/>
      <c r="K26" s="155"/>
      <c r="L26" s="151"/>
    </row>
    <row r="27">
      <c r="B27" s="195"/>
      <c r="E27" s="196"/>
      <c r="F27" s="207"/>
      <c r="G27" s="205" t="s">
        <v>204</v>
      </c>
      <c r="H27" s="72">
        <v>0.0</v>
      </c>
      <c r="I27" s="208">
        <f>'계산'!Q62</f>
        <v>56554</v>
      </c>
      <c r="K27" s="209" t="str">
        <f>if(I27-'계산'!O11&gt;10000,"새틀라이트",if(I27-'계산'!O11&gt;4500,"지옥불",if(I27-'계산'!O11&gt;1500,"불",if(I27-'계산'!O11&gt;-1500 ,"적정",if(I27-'계산'!O11&gt;-4500,"물",if(I27-'계산'!O11&gt;-7500,"맹물","스탯딸"))))))</f>
        <v>적정</v>
      </c>
      <c r="L27" s="151"/>
    </row>
    <row r="28">
      <c r="B28" s="210" t="str">
        <f>if(D25="새틀라이트","당신은 혹시 유니온 서버의 3만대 메카닉?",if(D25="지옥불","스탯 사기를 대체 얼마나 친거야?",if(D25="불","스탯 대비 강합니다. ??? : 이거 이 스탯 아님. 실제론 더쎔(팩트)",if(D25="적정","당신은 주스탯만큼 강하다. 어디 가서 몇만대라고 하고 다니세요.",if(D25="물","스탯 대비 약합니다. 스탯이 다가 아닙니다.",if(D25="맹물","스탯 대비 매우 약합니다. 약코 ㄴㄴ 님이 약한거에요.",if(D25="스탯딸","궁극의 스탯딸 검거. 어디가서 몇만대라고 말하고 다니지 마세여;;")))))))</f>
        <v>당신은 주스탯만큼 강하다. 어디 가서 몇만대라고 하고 다니세요.</v>
      </c>
      <c r="C28" s="154"/>
      <c r="D28" s="154"/>
      <c r="E28" s="155"/>
      <c r="F28" s="207"/>
      <c r="G28" s="205" t="s">
        <v>289</v>
      </c>
      <c r="H28" s="72">
        <v>0.0</v>
      </c>
      <c r="K28" s="196"/>
      <c r="L28" s="151"/>
    </row>
    <row r="29">
      <c r="B29" s="211" t="s">
        <v>326</v>
      </c>
      <c r="C29" s="212"/>
      <c r="D29" s="213">
        <f>'계산'!F70</f>
        <v>0.0347</v>
      </c>
      <c r="E29" s="196"/>
      <c r="F29" s="214"/>
      <c r="G29" s="205" t="s">
        <v>327</v>
      </c>
      <c r="H29" s="72">
        <v>0.0</v>
      </c>
      <c r="K29" s="196"/>
      <c r="L29" s="151"/>
    </row>
    <row r="30">
      <c r="B30" s="215"/>
      <c r="C30" s="216"/>
      <c r="D30" s="217"/>
      <c r="E30" s="171"/>
      <c r="F30" s="214"/>
      <c r="G30" s="205" t="s">
        <v>29</v>
      </c>
      <c r="H30" s="72">
        <v>0.0</v>
      </c>
      <c r="K30" s="196"/>
      <c r="L30" s="151"/>
    </row>
    <row r="31">
      <c r="B31" s="218" t="str">
        <f t="array" ref="B31">index('스카우터 기초자료'!B:B,match(B25,'스카우터 기초자료'!E:E,1))&amp;" 대비"</f>
        <v>레전둘둘 대비</v>
      </c>
      <c r="C31" s="212"/>
      <c r="D31" s="213">
        <f t="array" ref="D31">ROUND(('계산'!B39/index('스카우터 기초자료'!C:C,match(B25,'스카우터 기초자료'!E:E,1)))-1,4)</f>
        <v>0.0589</v>
      </c>
      <c r="E31" s="196"/>
      <c r="F31" s="219"/>
      <c r="G31" s="205" t="s">
        <v>28</v>
      </c>
      <c r="H31" s="72">
        <v>0.0</v>
      </c>
      <c r="K31" s="196"/>
    </row>
    <row r="32">
      <c r="B32" s="215"/>
      <c r="C32" s="216"/>
      <c r="D32" s="217"/>
      <c r="E32" s="171"/>
      <c r="F32" s="219"/>
      <c r="G32" s="220" t="s">
        <v>197</v>
      </c>
      <c r="H32" s="114">
        <v>0.0</v>
      </c>
      <c r="I32" s="221" t="str">
        <f>if(K27="새틀라이트","당신은 혹시 유니온 서버의 3만대 메카닉?",if(K27="지옥불","스탯 사기를 대체 얼마나 친거야?",if(K27="불","스탯 대비 강합니다. ??? : 이거 이 스탯 아님. 실제론 더쎔(팩트)",if(K27="적정","당신은 주스탯만큼 강하다. 어디 가서 몇만대라고 하고 다니세요.",if(K27="물","스탯 대비 약합니다. 스탯이 다가 아닙니다.",if(K27="맹물","스탯 대비 매우 약합니다. 약코 ㄴㄴ 님이 약한거에요.",if(K27="스탯딸","궁극의 스텟딸 검거. 어디가서 몇만대라고 말하고 다니지 마세여;;")))))))</f>
        <v>당신은 주스탯만큼 강하다. 어디 가서 몇만대라고 하고 다니세요.</v>
      </c>
      <c r="J32" s="154"/>
      <c r="K32" s="155"/>
    </row>
    <row r="33">
      <c r="B33" s="222" t="str">
        <f t="array" ref="B33">IF(B25&lt;=80936, index('스카우터 기초자료'!B:B,match(B25,'스카우터 기초자료'!E:E,1)+1)&amp;" 대비","그분들")</f>
        <v>노해방 초고스펙 대비</v>
      </c>
      <c r="C33" s="223"/>
      <c r="D33" s="224">
        <f t="array" ref="D33">if(B25&lt;=80936, ROUND(('계산'!B39/index('스카우터 기초자료'!C:C,match(B25,'스카우터 기초자료'!E:E,1)+1)-1),4),"")</f>
        <v>-0.1956</v>
      </c>
      <c r="E33" s="179"/>
      <c r="G33" s="225" t="s">
        <v>328</v>
      </c>
      <c r="H33" s="38"/>
      <c r="I33" s="38"/>
      <c r="J33" s="38"/>
      <c r="K33" s="39"/>
      <c r="L33" s="151"/>
    </row>
    <row r="34">
      <c r="B34" s="153"/>
      <c r="C34" s="226"/>
      <c r="D34" s="227"/>
      <c r="E34" s="155"/>
      <c r="G34" s="228">
        <f>'계산'!Q60</f>
        <v>54.79</v>
      </c>
      <c r="H34" s="43"/>
      <c r="I34" s="43"/>
      <c r="J34" s="43"/>
      <c r="K34" s="44"/>
    </row>
    <row r="35">
      <c r="B35" s="151"/>
      <c r="C35" s="151"/>
      <c r="D35" s="151"/>
      <c r="E35" s="148"/>
      <c r="F35" s="151"/>
      <c r="G35" s="151"/>
    </row>
    <row r="36">
      <c r="B36" s="148"/>
      <c r="C36" s="151"/>
      <c r="D36" s="151"/>
      <c r="E36" s="148"/>
      <c r="F36" s="151"/>
    </row>
    <row r="37">
      <c r="B37" s="148"/>
      <c r="C37" s="151"/>
      <c r="D37" s="151"/>
      <c r="E37" s="148"/>
      <c r="F37" s="148"/>
    </row>
    <row r="38">
      <c r="B38" s="148"/>
      <c r="C38" s="151"/>
      <c r="D38" s="151"/>
      <c r="E38" s="148"/>
    </row>
    <row r="39">
      <c r="B39" s="148"/>
      <c r="C39" s="151"/>
      <c r="D39" s="151"/>
      <c r="E39" s="148"/>
    </row>
    <row r="40">
      <c r="B40" s="148"/>
      <c r="C40" s="148"/>
      <c r="D40" s="148"/>
      <c r="E40" s="148"/>
    </row>
    <row r="41">
      <c r="B41" s="148"/>
      <c r="C41" s="148"/>
      <c r="D41" s="148"/>
      <c r="E41" s="148"/>
    </row>
    <row r="42">
      <c r="B42" s="148"/>
      <c r="C42" s="148"/>
      <c r="D42" s="148"/>
      <c r="E42" s="148"/>
    </row>
    <row r="43">
      <c r="B43" s="148"/>
      <c r="C43" s="148"/>
      <c r="D43" s="148"/>
      <c r="E43" s="148"/>
    </row>
    <row r="44">
      <c r="B44" s="148"/>
      <c r="C44" s="148"/>
      <c r="D44" s="148"/>
      <c r="E44" s="148"/>
    </row>
    <row r="45">
      <c r="B45" s="148"/>
      <c r="C45" s="148"/>
      <c r="D45" s="148"/>
      <c r="E45" s="148"/>
    </row>
    <row r="46">
      <c r="B46" s="148"/>
      <c r="C46" s="148"/>
      <c r="D46" s="148"/>
      <c r="E46" s="148"/>
    </row>
    <row r="47">
      <c r="B47" s="148"/>
      <c r="C47" s="148"/>
      <c r="D47" s="148"/>
      <c r="E47" s="148"/>
    </row>
    <row r="48">
      <c r="B48" s="148"/>
      <c r="C48" s="148"/>
      <c r="D48" s="148"/>
      <c r="E48" s="148"/>
    </row>
    <row r="49">
      <c r="B49" s="148"/>
      <c r="C49" s="148"/>
      <c r="D49" s="148"/>
      <c r="E49" s="148"/>
    </row>
    <row r="50">
      <c r="B50" s="148"/>
      <c r="C50" s="148"/>
      <c r="D50" s="148"/>
      <c r="E50" s="148"/>
    </row>
    <row r="51">
      <c r="B51" s="148"/>
      <c r="C51" s="148"/>
      <c r="D51" s="148"/>
      <c r="E51" s="148"/>
    </row>
    <row r="52">
      <c r="B52" s="148"/>
      <c r="C52" s="148"/>
      <c r="D52" s="148"/>
      <c r="E52" s="148"/>
    </row>
    <row r="53">
      <c r="B53" s="148"/>
      <c r="C53" s="148"/>
      <c r="D53" s="148"/>
      <c r="E53" s="148"/>
    </row>
    <row r="54">
      <c r="B54" s="148"/>
      <c r="C54" s="148"/>
      <c r="D54" s="148"/>
      <c r="E54" s="148"/>
    </row>
    <row r="55">
      <c r="B55" s="148"/>
      <c r="C55" s="148"/>
      <c r="D55" s="148"/>
      <c r="E55" s="148"/>
    </row>
    <row r="56">
      <c r="B56" s="148"/>
      <c r="C56" s="148"/>
      <c r="D56" s="148"/>
      <c r="E56" s="148"/>
    </row>
    <row r="57">
      <c r="B57" s="148"/>
      <c r="C57" s="148"/>
      <c r="D57" s="148"/>
      <c r="E57" s="148"/>
    </row>
    <row r="58">
      <c r="B58" s="148"/>
      <c r="D58" s="148"/>
      <c r="E58" s="148"/>
    </row>
    <row r="59">
      <c r="B59" s="148"/>
      <c r="D59" s="148"/>
      <c r="E59" s="148"/>
    </row>
    <row r="60">
      <c r="B60" s="148"/>
      <c r="D60" s="148"/>
      <c r="E60" s="148"/>
    </row>
    <row r="61">
      <c r="B61" s="148"/>
      <c r="D61" s="148"/>
      <c r="E61" s="148"/>
    </row>
    <row r="62">
      <c r="B62" s="148"/>
      <c r="D62" s="148"/>
      <c r="E62" s="148"/>
    </row>
    <row r="63">
      <c r="B63" s="148"/>
      <c r="D63" s="148"/>
      <c r="E63" s="148"/>
    </row>
    <row r="64">
      <c r="B64" s="148"/>
      <c r="D64" s="148"/>
      <c r="E64" s="148"/>
    </row>
    <row r="65">
      <c r="B65" s="148"/>
      <c r="D65" s="148"/>
      <c r="E65" s="148"/>
    </row>
    <row r="66">
      <c r="B66" s="148"/>
      <c r="D66" s="148"/>
      <c r="E66" s="148"/>
    </row>
    <row r="67">
      <c r="B67" s="148"/>
      <c r="D67" s="148"/>
      <c r="E67" s="148"/>
    </row>
    <row r="68">
      <c r="B68" s="148"/>
      <c r="D68" s="148"/>
      <c r="E68" s="148"/>
    </row>
    <row r="69">
      <c r="B69" s="148"/>
      <c r="D69" s="148"/>
      <c r="E69" s="148"/>
    </row>
    <row r="70">
      <c r="B70" s="148"/>
      <c r="D70" s="148"/>
      <c r="E70" s="148"/>
    </row>
    <row r="71">
      <c r="B71" s="148"/>
      <c r="C71" s="148"/>
      <c r="D71" s="148"/>
      <c r="E71" s="148"/>
    </row>
    <row r="72">
      <c r="B72" s="148"/>
      <c r="C72" s="148"/>
      <c r="D72" s="148"/>
      <c r="E72" s="148"/>
    </row>
    <row r="73">
      <c r="B73" s="148"/>
      <c r="C73" s="148"/>
      <c r="D73" s="148"/>
      <c r="E73" s="148"/>
    </row>
    <row r="74">
      <c r="B74" s="148"/>
      <c r="C74" s="148"/>
      <c r="D74" s="148"/>
      <c r="E74" s="148"/>
    </row>
    <row r="75">
      <c r="B75" s="148"/>
      <c r="C75" s="148"/>
      <c r="D75" s="148"/>
      <c r="E75" s="148"/>
    </row>
    <row r="76">
      <c r="B76" s="148"/>
      <c r="C76" s="148"/>
      <c r="D76" s="148"/>
      <c r="E76" s="148"/>
    </row>
    <row r="77">
      <c r="B77" s="148"/>
      <c r="C77" s="148"/>
      <c r="D77" s="148"/>
      <c r="E77" s="148"/>
    </row>
    <row r="78">
      <c r="B78" s="148"/>
      <c r="C78" s="148"/>
      <c r="D78" s="148"/>
      <c r="E78" s="148"/>
    </row>
    <row r="79">
      <c r="B79" s="148"/>
      <c r="C79" s="148"/>
      <c r="D79" s="148"/>
      <c r="E79" s="148"/>
    </row>
    <row r="80">
      <c r="B80" s="148"/>
      <c r="C80" s="148"/>
      <c r="D80" s="148"/>
      <c r="E80" s="148"/>
    </row>
    <row r="81">
      <c r="B81" s="148"/>
      <c r="C81" s="148"/>
      <c r="D81" s="148"/>
      <c r="E81" s="148"/>
    </row>
    <row r="82">
      <c r="B82" s="148"/>
      <c r="C82" s="148"/>
      <c r="D82" s="148"/>
      <c r="E82" s="148"/>
    </row>
    <row r="83">
      <c r="B83" s="148"/>
      <c r="C83" s="148"/>
      <c r="D83" s="148"/>
      <c r="E83" s="148"/>
    </row>
    <row r="84">
      <c r="B84" s="148"/>
      <c r="C84" s="148"/>
      <c r="D84" s="148"/>
      <c r="E84" s="148"/>
    </row>
    <row r="85">
      <c r="B85" s="148"/>
      <c r="C85" s="148"/>
      <c r="D85" s="148"/>
      <c r="E85" s="148"/>
    </row>
    <row r="86">
      <c r="B86" s="148"/>
      <c r="C86" s="148"/>
      <c r="D86" s="148"/>
      <c r="E86" s="148"/>
    </row>
    <row r="87">
      <c r="B87" s="148"/>
      <c r="C87" s="148"/>
      <c r="D87" s="148"/>
      <c r="E87" s="148"/>
    </row>
    <row r="88">
      <c r="B88" s="148"/>
      <c r="C88" s="148"/>
      <c r="D88" s="148"/>
      <c r="E88" s="148"/>
    </row>
    <row r="89">
      <c r="B89" s="148"/>
      <c r="C89" s="148"/>
      <c r="D89" s="148"/>
      <c r="E89" s="148"/>
    </row>
    <row r="90">
      <c r="B90" s="148"/>
      <c r="C90" s="148"/>
      <c r="D90" s="148"/>
      <c r="E90" s="148"/>
    </row>
    <row r="91">
      <c r="B91" s="148"/>
      <c r="C91" s="148"/>
      <c r="D91" s="148"/>
      <c r="E91" s="148"/>
    </row>
    <row r="92">
      <c r="B92" s="148"/>
      <c r="C92" s="148"/>
      <c r="D92" s="148"/>
      <c r="E92" s="148"/>
    </row>
    <row r="93">
      <c r="B93" s="148"/>
      <c r="C93" s="148"/>
      <c r="D93" s="148"/>
      <c r="E93" s="148"/>
    </row>
    <row r="94">
      <c r="B94" s="148"/>
      <c r="C94" s="148"/>
      <c r="D94" s="148"/>
      <c r="E94" s="148"/>
    </row>
    <row r="95">
      <c r="B95" s="148"/>
      <c r="C95" s="148"/>
      <c r="D95" s="148"/>
      <c r="E95" s="148"/>
    </row>
    <row r="96">
      <c r="B96" s="148"/>
      <c r="C96" s="148"/>
      <c r="D96" s="148"/>
      <c r="E96" s="148"/>
    </row>
    <row r="97">
      <c r="B97" s="148"/>
      <c r="C97" s="148"/>
      <c r="D97" s="148"/>
      <c r="E97" s="148"/>
    </row>
    <row r="98">
      <c r="B98" s="148"/>
      <c r="C98" s="148"/>
      <c r="D98" s="148"/>
      <c r="E98" s="148"/>
    </row>
    <row r="99">
      <c r="B99" s="148"/>
      <c r="C99" s="148"/>
      <c r="D99" s="148"/>
      <c r="E99" s="148"/>
    </row>
    <row r="100">
      <c r="B100" s="148"/>
      <c r="C100" s="148"/>
      <c r="D100" s="148"/>
      <c r="E100" s="148"/>
    </row>
    <row r="101">
      <c r="B101" s="148"/>
      <c r="C101" s="148"/>
      <c r="D101" s="148"/>
      <c r="E101" s="148"/>
    </row>
    <row r="102">
      <c r="B102" s="148"/>
      <c r="C102" s="148"/>
      <c r="D102" s="148"/>
      <c r="E102" s="148"/>
    </row>
    <row r="103">
      <c r="B103" s="148"/>
      <c r="C103" s="148"/>
      <c r="D103" s="148"/>
      <c r="E103" s="148"/>
    </row>
    <row r="104">
      <c r="B104" s="148"/>
      <c r="C104" s="148"/>
      <c r="D104" s="148"/>
      <c r="E104" s="148"/>
    </row>
    <row r="105">
      <c r="B105" s="148"/>
      <c r="C105" s="148"/>
      <c r="D105" s="148"/>
      <c r="E105" s="148"/>
    </row>
    <row r="106">
      <c r="B106" s="148"/>
      <c r="C106" s="148"/>
      <c r="D106" s="148"/>
      <c r="E106" s="148"/>
    </row>
    <row r="107">
      <c r="B107" s="148"/>
      <c r="C107" s="148"/>
      <c r="D107" s="148"/>
      <c r="E107" s="148"/>
    </row>
    <row r="108">
      <c r="B108" s="148"/>
      <c r="C108" s="148"/>
      <c r="D108" s="148"/>
      <c r="E108" s="148"/>
    </row>
    <row r="109">
      <c r="B109" s="148"/>
      <c r="C109" s="148"/>
      <c r="D109" s="148"/>
      <c r="E109" s="148"/>
    </row>
    <row r="110">
      <c r="B110" s="148"/>
      <c r="C110" s="148"/>
      <c r="D110" s="148"/>
      <c r="E110" s="148"/>
    </row>
    <row r="111">
      <c r="B111" s="148"/>
      <c r="C111" s="148"/>
      <c r="D111" s="148"/>
      <c r="E111" s="148"/>
    </row>
    <row r="112">
      <c r="B112" s="148"/>
      <c r="C112" s="148"/>
      <c r="D112" s="148"/>
      <c r="E112" s="148"/>
    </row>
    <row r="113">
      <c r="B113" s="148"/>
      <c r="C113" s="148"/>
      <c r="D113" s="148"/>
      <c r="E113" s="148"/>
    </row>
    <row r="114">
      <c r="B114" s="148"/>
      <c r="C114" s="148"/>
      <c r="D114" s="148"/>
      <c r="E114" s="148"/>
    </row>
    <row r="115">
      <c r="B115" s="148"/>
      <c r="C115" s="148"/>
      <c r="D115" s="148"/>
      <c r="E115" s="148"/>
    </row>
    <row r="116">
      <c r="B116" s="148"/>
      <c r="C116" s="148"/>
      <c r="D116" s="148"/>
      <c r="E116" s="148"/>
    </row>
    <row r="117">
      <c r="B117" s="148"/>
      <c r="C117" s="148"/>
      <c r="D117" s="148"/>
      <c r="E117" s="148"/>
    </row>
    <row r="118">
      <c r="B118" s="148"/>
      <c r="C118" s="148"/>
      <c r="D118" s="148"/>
      <c r="E118" s="148"/>
    </row>
    <row r="119">
      <c r="B119" s="148"/>
      <c r="C119" s="148"/>
      <c r="D119" s="148"/>
      <c r="E119" s="148"/>
    </row>
    <row r="120">
      <c r="B120" s="148"/>
      <c r="C120" s="148"/>
      <c r="D120" s="148"/>
      <c r="E120" s="148"/>
    </row>
    <row r="121">
      <c r="B121" s="148"/>
      <c r="C121" s="148"/>
      <c r="D121" s="148"/>
      <c r="E121" s="148"/>
    </row>
    <row r="122">
      <c r="B122" s="148"/>
      <c r="C122" s="148"/>
      <c r="D122" s="148"/>
      <c r="E122" s="148"/>
    </row>
    <row r="123">
      <c r="B123" s="148"/>
      <c r="C123" s="148"/>
      <c r="D123" s="148"/>
      <c r="E123" s="148"/>
    </row>
    <row r="124">
      <c r="B124" s="148"/>
      <c r="C124" s="148"/>
      <c r="D124" s="148"/>
      <c r="E124" s="148"/>
    </row>
    <row r="125">
      <c r="B125" s="148"/>
      <c r="C125" s="148"/>
      <c r="D125" s="148"/>
      <c r="E125" s="148"/>
    </row>
    <row r="126">
      <c r="B126" s="148"/>
      <c r="C126" s="148"/>
      <c r="D126" s="148"/>
      <c r="E126" s="148"/>
    </row>
    <row r="127">
      <c r="B127" s="148"/>
      <c r="C127" s="148"/>
      <c r="D127" s="148"/>
      <c r="E127" s="148"/>
    </row>
    <row r="128">
      <c r="B128" s="148"/>
      <c r="C128" s="148"/>
      <c r="D128" s="148"/>
      <c r="E128" s="148"/>
    </row>
    <row r="129">
      <c r="B129" s="148"/>
      <c r="C129" s="148"/>
      <c r="D129" s="148"/>
      <c r="E129" s="148"/>
    </row>
    <row r="130">
      <c r="B130" s="148"/>
      <c r="C130" s="148"/>
      <c r="D130" s="148"/>
      <c r="E130" s="148"/>
    </row>
    <row r="131">
      <c r="B131" s="148"/>
      <c r="C131" s="148"/>
      <c r="D131" s="148"/>
      <c r="E131" s="148"/>
    </row>
    <row r="132">
      <c r="B132" s="148"/>
      <c r="C132" s="148"/>
      <c r="D132" s="148"/>
      <c r="E132" s="148"/>
    </row>
    <row r="133">
      <c r="B133" s="148"/>
      <c r="C133" s="148"/>
      <c r="D133" s="148"/>
      <c r="E133" s="148"/>
    </row>
    <row r="134">
      <c r="B134" s="148"/>
      <c r="C134" s="148"/>
      <c r="D134" s="148"/>
      <c r="E134" s="148"/>
    </row>
    <row r="135">
      <c r="B135" s="148"/>
      <c r="C135" s="148"/>
      <c r="D135" s="148"/>
      <c r="E135" s="148"/>
    </row>
    <row r="136">
      <c r="B136" s="148"/>
      <c r="C136" s="148"/>
      <c r="D136" s="148"/>
      <c r="E136" s="148"/>
    </row>
    <row r="137">
      <c r="B137" s="148"/>
      <c r="C137" s="148"/>
      <c r="D137" s="148"/>
      <c r="E137" s="148"/>
    </row>
    <row r="138">
      <c r="B138" s="148"/>
      <c r="C138" s="148"/>
      <c r="D138" s="148"/>
      <c r="E138" s="148"/>
    </row>
    <row r="139">
      <c r="B139" s="148"/>
      <c r="C139" s="148"/>
      <c r="D139" s="148"/>
      <c r="E139" s="148"/>
    </row>
    <row r="140">
      <c r="B140" s="148"/>
      <c r="C140" s="148"/>
      <c r="D140" s="148"/>
      <c r="E140" s="148"/>
    </row>
    <row r="141">
      <c r="B141" s="148"/>
      <c r="C141" s="148"/>
      <c r="D141" s="148"/>
      <c r="E141" s="148"/>
    </row>
    <row r="142">
      <c r="B142" s="148"/>
      <c r="C142" s="148"/>
      <c r="D142" s="148"/>
      <c r="E142" s="148"/>
    </row>
    <row r="143">
      <c r="B143" s="148"/>
      <c r="C143" s="148"/>
      <c r="D143" s="148"/>
      <c r="E143" s="148"/>
    </row>
    <row r="144">
      <c r="B144" s="148"/>
      <c r="C144" s="148"/>
      <c r="D144" s="148"/>
      <c r="E144" s="148"/>
    </row>
    <row r="145">
      <c r="B145" s="148"/>
      <c r="C145" s="148"/>
      <c r="D145" s="148"/>
      <c r="E145" s="148"/>
    </row>
    <row r="146">
      <c r="B146" s="148"/>
      <c r="C146" s="148"/>
      <c r="D146" s="148"/>
      <c r="E146" s="148"/>
    </row>
    <row r="147">
      <c r="B147" s="148"/>
      <c r="C147" s="148"/>
      <c r="D147" s="148"/>
      <c r="E147" s="148"/>
    </row>
    <row r="148">
      <c r="B148" s="148"/>
      <c r="C148" s="148"/>
      <c r="D148" s="148"/>
      <c r="E148" s="148"/>
    </row>
    <row r="149">
      <c r="B149" s="148"/>
      <c r="C149" s="148"/>
      <c r="D149" s="148"/>
      <c r="E149" s="148"/>
    </row>
    <row r="150">
      <c r="B150" s="148"/>
      <c r="C150" s="148"/>
      <c r="D150" s="148"/>
      <c r="E150" s="148"/>
    </row>
    <row r="151">
      <c r="B151" s="148"/>
      <c r="C151" s="148"/>
      <c r="D151" s="148"/>
      <c r="E151" s="148"/>
    </row>
    <row r="152">
      <c r="B152" s="148"/>
      <c r="C152" s="148"/>
      <c r="D152" s="148"/>
      <c r="E152" s="148"/>
    </row>
    <row r="153">
      <c r="B153" s="148"/>
      <c r="C153" s="148"/>
      <c r="D153" s="148"/>
      <c r="E153" s="148"/>
    </row>
    <row r="154">
      <c r="B154" s="148"/>
      <c r="C154" s="148"/>
      <c r="D154" s="148"/>
      <c r="E154" s="148"/>
    </row>
    <row r="155">
      <c r="B155" s="148"/>
      <c r="C155" s="148"/>
      <c r="D155" s="148"/>
      <c r="E155" s="148"/>
    </row>
    <row r="156">
      <c r="B156" s="148"/>
      <c r="C156" s="148"/>
      <c r="D156" s="148"/>
      <c r="E156" s="148"/>
    </row>
    <row r="157">
      <c r="B157" s="148"/>
      <c r="C157" s="148"/>
      <c r="D157" s="148"/>
      <c r="E157" s="148"/>
    </row>
    <row r="158">
      <c r="B158" s="148"/>
      <c r="C158" s="148"/>
      <c r="D158" s="148"/>
      <c r="E158" s="148"/>
    </row>
    <row r="159">
      <c r="B159" s="148"/>
      <c r="C159" s="148"/>
      <c r="D159" s="148"/>
      <c r="E159" s="148"/>
    </row>
    <row r="160">
      <c r="B160" s="148"/>
      <c r="C160" s="148"/>
      <c r="D160" s="148"/>
      <c r="E160" s="148"/>
    </row>
    <row r="161">
      <c r="B161" s="148"/>
      <c r="C161" s="148"/>
      <c r="D161" s="148"/>
      <c r="E161" s="148"/>
    </row>
    <row r="162">
      <c r="B162" s="148"/>
      <c r="C162" s="148"/>
      <c r="D162" s="148"/>
      <c r="E162" s="148"/>
    </row>
    <row r="163">
      <c r="B163" s="148"/>
      <c r="C163" s="148"/>
      <c r="D163" s="148"/>
      <c r="E163" s="148"/>
    </row>
    <row r="164">
      <c r="B164" s="148"/>
      <c r="C164" s="148"/>
      <c r="D164" s="148"/>
      <c r="E164" s="148"/>
    </row>
    <row r="165">
      <c r="B165" s="148"/>
      <c r="C165" s="148"/>
      <c r="D165" s="148"/>
      <c r="E165" s="148"/>
    </row>
    <row r="166">
      <c r="B166" s="148"/>
      <c r="C166" s="148"/>
      <c r="D166" s="148"/>
      <c r="E166" s="148"/>
    </row>
    <row r="167">
      <c r="B167" s="148"/>
      <c r="C167" s="148"/>
      <c r="D167" s="148"/>
      <c r="E167" s="148"/>
    </row>
    <row r="168">
      <c r="B168" s="148"/>
      <c r="C168" s="148"/>
      <c r="D168" s="148"/>
      <c r="E168" s="148"/>
    </row>
    <row r="169">
      <c r="B169" s="148"/>
      <c r="C169" s="148"/>
      <c r="D169" s="148"/>
      <c r="E169" s="148"/>
    </row>
    <row r="170">
      <c r="B170" s="148"/>
      <c r="C170" s="148"/>
      <c r="D170" s="148"/>
      <c r="E170" s="148"/>
    </row>
    <row r="171">
      <c r="B171" s="148"/>
      <c r="C171" s="148"/>
      <c r="D171" s="148"/>
      <c r="E171" s="148"/>
    </row>
    <row r="172">
      <c r="B172" s="148"/>
      <c r="C172" s="148"/>
      <c r="D172" s="148"/>
      <c r="E172" s="148"/>
    </row>
    <row r="173">
      <c r="B173" s="148"/>
      <c r="C173" s="148"/>
      <c r="D173" s="148"/>
      <c r="E173" s="148"/>
    </row>
    <row r="174">
      <c r="B174" s="148"/>
      <c r="C174" s="148"/>
      <c r="D174" s="148"/>
      <c r="E174" s="148"/>
    </row>
    <row r="175">
      <c r="B175" s="148"/>
      <c r="C175" s="148"/>
      <c r="D175" s="148"/>
      <c r="E175" s="148"/>
    </row>
    <row r="176">
      <c r="B176" s="148"/>
      <c r="C176" s="148"/>
      <c r="D176" s="148"/>
      <c r="E176" s="148"/>
    </row>
    <row r="177">
      <c r="B177" s="148"/>
      <c r="C177" s="148"/>
      <c r="D177" s="148"/>
      <c r="E177" s="148"/>
    </row>
    <row r="178">
      <c r="B178" s="148"/>
      <c r="C178" s="148"/>
      <c r="D178" s="148"/>
      <c r="E178" s="148"/>
    </row>
    <row r="179">
      <c r="B179" s="148"/>
      <c r="C179" s="148"/>
      <c r="D179" s="148"/>
      <c r="E179" s="148"/>
    </row>
    <row r="180">
      <c r="B180" s="148"/>
      <c r="C180" s="148"/>
      <c r="D180" s="148"/>
      <c r="E180" s="148"/>
    </row>
    <row r="181">
      <c r="B181" s="148"/>
      <c r="C181" s="148"/>
      <c r="D181" s="148"/>
      <c r="E181" s="148"/>
    </row>
    <row r="182">
      <c r="B182" s="148"/>
      <c r="C182" s="148"/>
      <c r="D182" s="148"/>
      <c r="E182" s="148"/>
    </row>
    <row r="183">
      <c r="B183" s="148"/>
      <c r="C183" s="148"/>
      <c r="D183" s="148"/>
      <c r="E183" s="148"/>
    </row>
    <row r="184">
      <c r="B184" s="148"/>
      <c r="C184" s="148"/>
      <c r="D184" s="148"/>
      <c r="E184" s="148"/>
    </row>
    <row r="185">
      <c r="B185" s="148"/>
      <c r="C185" s="148"/>
      <c r="D185" s="148"/>
      <c r="E185" s="148"/>
    </row>
    <row r="186">
      <c r="B186" s="148"/>
      <c r="C186" s="148"/>
      <c r="D186" s="148"/>
      <c r="E186" s="148"/>
    </row>
    <row r="187">
      <c r="B187" s="148"/>
      <c r="C187" s="148"/>
      <c r="D187" s="148"/>
      <c r="E187" s="148"/>
    </row>
    <row r="188">
      <c r="B188" s="148"/>
      <c r="C188" s="148"/>
      <c r="D188" s="148"/>
      <c r="E188" s="148"/>
    </row>
    <row r="189">
      <c r="B189" s="148"/>
      <c r="C189" s="148"/>
      <c r="D189" s="148"/>
      <c r="E189" s="148"/>
    </row>
    <row r="190">
      <c r="B190" s="148"/>
      <c r="C190" s="148"/>
      <c r="D190" s="148"/>
      <c r="E190" s="148"/>
    </row>
    <row r="191">
      <c r="B191" s="148"/>
      <c r="C191" s="148"/>
      <c r="D191" s="148"/>
      <c r="E191" s="148"/>
    </row>
    <row r="192">
      <c r="B192" s="148"/>
      <c r="C192" s="148"/>
      <c r="D192" s="148"/>
      <c r="E192" s="148"/>
    </row>
    <row r="193">
      <c r="B193" s="148"/>
      <c r="C193" s="148"/>
      <c r="D193" s="148"/>
      <c r="E193" s="148"/>
    </row>
    <row r="194">
      <c r="B194" s="148"/>
      <c r="C194" s="148"/>
      <c r="D194" s="148"/>
      <c r="E194" s="148"/>
    </row>
    <row r="195">
      <c r="B195" s="148"/>
      <c r="C195" s="148"/>
      <c r="D195" s="148"/>
      <c r="E195" s="148"/>
    </row>
    <row r="196">
      <c r="B196" s="148"/>
      <c r="C196" s="148"/>
      <c r="D196" s="148"/>
      <c r="E196" s="148"/>
    </row>
    <row r="197">
      <c r="B197" s="148"/>
      <c r="C197" s="148"/>
      <c r="D197" s="148"/>
      <c r="E197" s="148"/>
    </row>
    <row r="198">
      <c r="B198" s="148"/>
      <c r="C198" s="148"/>
      <c r="D198" s="148"/>
      <c r="E198" s="148"/>
    </row>
    <row r="199">
      <c r="B199" s="148"/>
      <c r="C199" s="148"/>
      <c r="D199" s="148"/>
      <c r="E199" s="148"/>
    </row>
    <row r="200">
      <c r="B200" s="148"/>
      <c r="C200" s="148"/>
      <c r="D200" s="148"/>
      <c r="E200" s="148"/>
    </row>
    <row r="201">
      <c r="B201" s="148"/>
      <c r="C201" s="148"/>
      <c r="D201" s="148"/>
      <c r="E201" s="148"/>
    </row>
    <row r="202">
      <c r="B202" s="148"/>
      <c r="C202" s="148"/>
      <c r="D202" s="148"/>
      <c r="E202" s="148"/>
    </row>
    <row r="203">
      <c r="B203" s="148"/>
      <c r="C203" s="148"/>
      <c r="D203" s="148"/>
      <c r="E203" s="148"/>
    </row>
    <row r="204">
      <c r="B204" s="148"/>
      <c r="C204" s="148"/>
      <c r="D204" s="148"/>
      <c r="E204" s="148"/>
    </row>
    <row r="205">
      <c r="B205" s="148"/>
      <c r="C205" s="148"/>
      <c r="D205" s="148"/>
      <c r="E205" s="148"/>
    </row>
    <row r="206">
      <c r="B206" s="148"/>
      <c r="C206" s="148"/>
      <c r="D206" s="148"/>
      <c r="E206" s="148"/>
    </row>
    <row r="207">
      <c r="B207" s="148"/>
      <c r="C207" s="148"/>
      <c r="D207" s="148"/>
      <c r="E207" s="148"/>
    </row>
    <row r="208">
      <c r="B208" s="148"/>
      <c r="C208" s="148"/>
      <c r="D208" s="148"/>
      <c r="E208" s="148"/>
    </row>
    <row r="209">
      <c r="B209" s="148"/>
      <c r="C209" s="148"/>
      <c r="D209" s="148"/>
      <c r="E209" s="148"/>
    </row>
    <row r="210">
      <c r="B210" s="148"/>
      <c r="C210" s="148"/>
      <c r="D210" s="148"/>
      <c r="E210" s="148"/>
    </row>
    <row r="211">
      <c r="B211" s="148"/>
      <c r="C211" s="148"/>
      <c r="D211" s="148"/>
      <c r="E211" s="148"/>
    </row>
    <row r="212">
      <c r="B212" s="148"/>
      <c r="C212" s="148"/>
      <c r="D212" s="148"/>
      <c r="E212" s="148"/>
    </row>
    <row r="213">
      <c r="B213" s="148"/>
      <c r="C213" s="148"/>
      <c r="D213" s="148"/>
      <c r="E213" s="148"/>
    </row>
    <row r="214">
      <c r="B214" s="148"/>
      <c r="C214" s="148"/>
      <c r="D214" s="148"/>
      <c r="E214" s="148"/>
    </row>
    <row r="215">
      <c r="B215" s="148"/>
      <c r="C215" s="148"/>
      <c r="D215" s="148"/>
      <c r="E215" s="148"/>
    </row>
    <row r="216">
      <c r="B216" s="148"/>
      <c r="C216" s="148"/>
      <c r="D216" s="148"/>
      <c r="E216" s="148"/>
    </row>
    <row r="217">
      <c r="B217" s="148"/>
      <c r="C217" s="148"/>
      <c r="D217" s="148"/>
      <c r="E217" s="148"/>
    </row>
    <row r="218">
      <c r="B218" s="148"/>
      <c r="C218" s="148"/>
      <c r="D218" s="148"/>
      <c r="E218" s="148"/>
    </row>
    <row r="219">
      <c r="B219" s="148"/>
      <c r="C219" s="148"/>
      <c r="D219" s="148"/>
      <c r="E219" s="148"/>
    </row>
    <row r="220">
      <c r="B220" s="148"/>
      <c r="C220" s="148"/>
      <c r="D220" s="148"/>
      <c r="E220" s="148"/>
    </row>
    <row r="221">
      <c r="B221" s="148"/>
      <c r="C221" s="148"/>
      <c r="D221" s="148"/>
      <c r="E221" s="148"/>
    </row>
    <row r="222">
      <c r="B222" s="148"/>
      <c r="C222" s="148"/>
      <c r="D222" s="148"/>
      <c r="E222" s="148"/>
    </row>
    <row r="223">
      <c r="B223" s="148"/>
      <c r="C223" s="148"/>
      <c r="D223" s="148"/>
      <c r="E223" s="148"/>
    </row>
    <row r="224">
      <c r="B224" s="148"/>
      <c r="C224" s="148"/>
      <c r="D224" s="148"/>
      <c r="E224" s="148"/>
    </row>
    <row r="225">
      <c r="B225" s="148"/>
      <c r="C225" s="148"/>
      <c r="D225" s="148"/>
      <c r="E225" s="148"/>
    </row>
    <row r="226">
      <c r="B226" s="148"/>
      <c r="C226" s="148"/>
      <c r="D226" s="148"/>
      <c r="E226" s="148"/>
    </row>
    <row r="227">
      <c r="B227" s="148"/>
      <c r="C227" s="148"/>
      <c r="D227" s="148"/>
      <c r="E227" s="148"/>
    </row>
    <row r="228">
      <c r="B228" s="148"/>
      <c r="C228" s="148"/>
      <c r="D228" s="148"/>
      <c r="E228" s="148"/>
    </row>
    <row r="229">
      <c r="B229" s="148"/>
      <c r="C229" s="148"/>
      <c r="D229" s="148"/>
      <c r="E229" s="148"/>
    </row>
    <row r="230">
      <c r="B230" s="148"/>
      <c r="C230" s="148"/>
      <c r="D230" s="148"/>
      <c r="E230" s="148"/>
    </row>
    <row r="231">
      <c r="B231" s="148"/>
      <c r="C231" s="148"/>
      <c r="D231" s="148"/>
      <c r="E231" s="148"/>
    </row>
    <row r="232">
      <c r="B232" s="148"/>
      <c r="C232" s="148"/>
      <c r="D232" s="148"/>
      <c r="E232" s="148"/>
    </row>
    <row r="233">
      <c r="B233" s="148"/>
      <c r="C233" s="148"/>
      <c r="D233" s="148"/>
      <c r="E233" s="148"/>
    </row>
    <row r="234">
      <c r="B234" s="148"/>
      <c r="C234" s="148"/>
      <c r="D234" s="148"/>
      <c r="E234" s="148"/>
    </row>
    <row r="235">
      <c r="B235" s="148"/>
      <c r="C235" s="148"/>
      <c r="D235" s="148"/>
      <c r="E235" s="148"/>
    </row>
    <row r="236">
      <c r="B236" s="148"/>
      <c r="C236" s="148"/>
      <c r="D236" s="148"/>
      <c r="E236" s="148"/>
    </row>
    <row r="237">
      <c r="B237" s="148"/>
      <c r="C237" s="148"/>
      <c r="D237" s="148"/>
      <c r="E237" s="148"/>
    </row>
    <row r="238">
      <c r="B238" s="148"/>
      <c r="C238" s="148"/>
      <c r="D238" s="148"/>
      <c r="E238" s="148"/>
    </row>
    <row r="239">
      <c r="B239" s="148"/>
      <c r="C239" s="148"/>
      <c r="D239" s="148"/>
      <c r="E239" s="148"/>
    </row>
    <row r="240">
      <c r="B240" s="148"/>
      <c r="C240" s="148"/>
      <c r="D240" s="148"/>
      <c r="E240" s="148"/>
    </row>
    <row r="241">
      <c r="B241" s="148"/>
      <c r="C241" s="148"/>
      <c r="D241" s="148"/>
      <c r="E241" s="148"/>
    </row>
    <row r="242">
      <c r="B242" s="148"/>
      <c r="C242" s="148"/>
      <c r="D242" s="148"/>
      <c r="E242" s="148"/>
    </row>
    <row r="243">
      <c r="B243" s="148"/>
      <c r="C243" s="148"/>
      <c r="D243" s="148"/>
      <c r="E243" s="148"/>
    </row>
    <row r="244">
      <c r="B244" s="148"/>
      <c r="C244" s="148"/>
      <c r="D244" s="148"/>
      <c r="E244" s="148"/>
    </row>
    <row r="245">
      <c r="B245" s="148"/>
      <c r="C245" s="148"/>
      <c r="D245" s="148"/>
      <c r="E245" s="148"/>
    </row>
    <row r="246">
      <c r="B246" s="148"/>
      <c r="C246" s="148"/>
      <c r="D246" s="148"/>
      <c r="E246" s="148"/>
    </row>
    <row r="247">
      <c r="B247" s="148"/>
      <c r="C247" s="148"/>
      <c r="D247" s="148"/>
      <c r="E247" s="148"/>
    </row>
    <row r="248">
      <c r="B248" s="148"/>
      <c r="C248" s="148"/>
      <c r="D248" s="148"/>
      <c r="E248" s="148"/>
    </row>
    <row r="249">
      <c r="B249" s="148"/>
      <c r="C249" s="148"/>
      <c r="D249" s="148"/>
      <c r="E249" s="148"/>
    </row>
    <row r="250">
      <c r="B250" s="148"/>
      <c r="C250" s="148"/>
      <c r="D250" s="148"/>
      <c r="E250" s="148"/>
    </row>
    <row r="251">
      <c r="B251" s="148"/>
      <c r="C251" s="148"/>
      <c r="D251" s="148"/>
      <c r="E251" s="148"/>
    </row>
    <row r="252">
      <c r="B252" s="148"/>
      <c r="C252" s="148"/>
      <c r="D252" s="148"/>
      <c r="E252" s="148"/>
    </row>
    <row r="253">
      <c r="B253" s="148"/>
      <c r="C253" s="148"/>
      <c r="D253" s="148"/>
      <c r="E253" s="148"/>
    </row>
    <row r="254">
      <c r="B254" s="148"/>
      <c r="C254" s="148"/>
      <c r="D254" s="148"/>
      <c r="E254" s="148"/>
    </row>
    <row r="255">
      <c r="B255" s="148"/>
      <c r="C255" s="148"/>
      <c r="D255" s="148"/>
      <c r="E255" s="148"/>
    </row>
    <row r="256">
      <c r="B256" s="148"/>
      <c r="C256" s="148"/>
      <c r="D256" s="148"/>
      <c r="E256" s="148"/>
    </row>
    <row r="257">
      <c r="B257" s="148"/>
      <c r="C257" s="148"/>
      <c r="D257" s="148"/>
      <c r="E257" s="148"/>
    </row>
    <row r="258">
      <c r="B258" s="148"/>
      <c r="C258" s="148"/>
      <c r="D258" s="148"/>
      <c r="E258" s="148"/>
    </row>
    <row r="259">
      <c r="B259" s="148"/>
      <c r="C259" s="148"/>
      <c r="D259" s="148"/>
      <c r="E259" s="148"/>
    </row>
    <row r="260">
      <c r="B260" s="148"/>
      <c r="C260" s="148"/>
      <c r="D260" s="148"/>
      <c r="E260" s="148"/>
    </row>
    <row r="261">
      <c r="B261" s="148"/>
      <c r="C261" s="148"/>
      <c r="D261" s="148"/>
      <c r="E261" s="148"/>
    </row>
    <row r="262">
      <c r="B262" s="148"/>
      <c r="C262" s="148"/>
      <c r="D262" s="148"/>
      <c r="E262" s="148"/>
    </row>
    <row r="263">
      <c r="B263" s="148"/>
      <c r="C263" s="148"/>
      <c r="D263" s="148"/>
      <c r="E263" s="148"/>
    </row>
    <row r="264">
      <c r="B264" s="148"/>
      <c r="C264" s="148"/>
      <c r="D264" s="148"/>
      <c r="E264" s="148"/>
    </row>
    <row r="265">
      <c r="B265" s="148"/>
      <c r="C265" s="148"/>
      <c r="D265" s="148"/>
      <c r="E265" s="148"/>
    </row>
    <row r="266">
      <c r="B266" s="148"/>
      <c r="C266" s="148"/>
      <c r="D266" s="148"/>
      <c r="E266" s="148"/>
    </row>
    <row r="267">
      <c r="B267" s="148"/>
      <c r="C267" s="148"/>
      <c r="D267" s="148"/>
      <c r="E267" s="148"/>
    </row>
    <row r="268">
      <c r="B268" s="148"/>
      <c r="C268" s="148"/>
      <c r="D268" s="148"/>
      <c r="E268" s="148"/>
    </row>
    <row r="269">
      <c r="B269" s="148"/>
      <c r="C269" s="148"/>
      <c r="D269" s="148"/>
      <c r="E269" s="148"/>
    </row>
    <row r="270">
      <c r="B270" s="148"/>
      <c r="C270" s="148"/>
      <c r="D270" s="148"/>
      <c r="E270" s="148"/>
    </row>
    <row r="271">
      <c r="B271" s="148"/>
      <c r="C271" s="148"/>
      <c r="D271" s="148"/>
      <c r="E271" s="148"/>
    </row>
    <row r="272">
      <c r="B272" s="148"/>
      <c r="C272" s="148"/>
      <c r="D272" s="148"/>
      <c r="E272" s="148"/>
    </row>
    <row r="273">
      <c r="B273" s="148"/>
      <c r="C273" s="148"/>
      <c r="D273" s="148"/>
      <c r="E273" s="148"/>
    </row>
    <row r="274">
      <c r="B274" s="148"/>
      <c r="C274" s="148"/>
      <c r="D274" s="148"/>
      <c r="E274" s="148"/>
    </row>
    <row r="275">
      <c r="B275" s="148"/>
      <c r="C275" s="148"/>
      <c r="D275" s="148"/>
      <c r="E275" s="148"/>
    </row>
    <row r="276">
      <c r="B276" s="148"/>
      <c r="C276" s="148"/>
      <c r="D276" s="148"/>
      <c r="E276" s="148"/>
    </row>
    <row r="277">
      <c r="B277" s="148"/>
      <c r="C277" s="148"/>
      <c r="D277" s="148"/>
      <c r="E277" s="148"/>
    </row>
    <row r="278">
      <c r="B278" s="148"/>
      <c r="C278" s="148"/>
      <c r="D278" s="148"/>
      <c r="E278" s="148"/>
    </row>
    <row r="279">
      <c r="B279" s="148"/>
      <c r="C279" s="148"/>
      <c r="D279" s="148"/>
      <c r="E279" s="148"/>
    </row>
    <row r="280">
      <c r="B280" s="148"/>
      <c r="C280" s="148"/>
      <c r="D280" s="148"/>
      <c r="E280" s="148"/>
    </row>
    <row r="281">
      <c r="B281" s="148"/>
      <c r="C281" s="148"/>
      <c r="D281" s="148"/>
      <c r="E281" s="148"/>
    </row>
    <row r="282">
      <c r="B282" s="148"/>
      <c r="C282" s="148"/>
      <c r="D282" s="148"/>
      <c r="E282" s="148"/>
    </row>
    <row r="283">
      <c r="B283" s="148"/>
      <c r="C283" s="148"/>
      <c r="D283" s="148"/>
      <c r="E283" s="148"/>
    </row>
    <row r="284">
      <c r="B284" s="148"/>
      <c r="C284" s="148"/>
      <c r="D284" s="148"/>
      <c r="E284" s="148"/>
    </row>
    <row r="285">
      <c r="B285" s="148"/>
      <c r="C285" s="148"/>
      <c r="D285" s="148"/>
      <c r="E285" s="148"/>
    </row>
    <row r="286">
      <c r="B286" s="148"/>
      <c r="C286" s="148"/>
      <c r="D286" s="148"/>
      <c r="E286" s="148"/>
    </row>
    <row r="287">
      <c r="B287" s="148"/>
      <c r="C287" s="148"/>
      <c r="D287" s="148"/>
      <c r="E287" s="148"/>
    </row>
    <row r="288">
      <c r="B288" s="148"/>
      <c r="C288" s="148"/>
      <c r="D288" s="148"/>
      <c r="E288" s="148"/>
    </row>
    <row r="289">
      <c r="B289" s="148"/>
      <c r="C289" s="148"/>
      <c r="D289" s="148"/>
      <c r="E289" s="148"/>
    </row>
    <row r="290">
      <c r="B290" s="148"/>
      <c r="C290" s="148"/>
      <c r="D290" s="148"/>
      <c r="E290" s="148"/>
    </row>
    <row r="291">
      <c r="B291" s="148"/>
      <c r="C291" s="148"/>
      <c r="D291" s="148"/>
      <c r="E291" s="148"/>
    </row>
    <row r="292">
      <c r="B292" s="148"/>
      <c r="C292" s="148"/>
      <c r="D292" s="148"/>
      <c r="E292" s="148"/>
    </row>
    <row r="293">
      <c r="B293" s="148"/>
      <c r="C293" s="148"/>
      <c r="D293" s="148"/>
      <c r="E293" s="148"/>
    </row>
    <row r="294">
      <c r="B294" s="148"/>
      <c r="C294" s="148"/>
      <c r="D294" s="148"/>
      <c r="E294" s="148"/>
    </row>
    <row r="295">
      <c r="B295" s="148"/>
      <c r="C295" s="148"/>
      <c r="D295" s="148"/>
      <c r="E295" s="148"/>
    </row>
    <row r="296">
      <c r="B296" s="148"/>
      <c r="C296" s="148"/>
      <c r="D296" s="148"/>
      <c r="E296" s="148"/>
    </row>
    <row r="297">
      <c r="B297" s="148"/>
      <c r="C297" s="148"/>
      <c r="D297" s="148"/>
      <c r="E297" s="148"/>
    </row>
    <row r="298">
      <c r="B298" s="148"/>
      <c r="C298" s="148"/>
      <c r="D298" s="148"/>
      <c r="E298" s="148"/>
    </row>
    <row r="299">
      <c r="B299" s="148"/>
      <c r="C299" s="148"/>
      <c r="D299" s="148"/>
      <c r="E299" s="148"/>
    </row>
    <row r="300">
      <c r="B300" s="148"/>
      <c r="C300" s="148"/>
      <c r="D300" s="148"/>
      <c r="E300" s="148"/>
    </row>
    <row r="301">
      <c r="B301" s="148"/>
      <c r="C301" s="148"/>
      <c r="D301" s="148"/>
      <c r="E301" s="148"/>
    </row>
    <row r="302">
      <c r="B302" s="148"/>
      <c r="C302" s="148"/>
      <c r="D302" s="148"/>
      <c r="E302" s="148"/>
    </row>
    <row r="303">
      <c r="B303" s="148"/>
      <c r="C303" s="148"/>
      <c r="D303" s="148"/>
      <c r="E303" s="148"/>
    </row>
    <row r="304">
      <c r="B304" s="148"/>
      <c r="C304" s="148"/>
      <c r="D304" s="148"/>
      <c r="E304" s="148"/>
    </row>
    <row r="305">
      <c r="B305" s="148"/>
      <c r="C305" s="148"/>
      <c r="D305" s="148"/>
      <c r="E305" s="148"/>
    </row>
    <row r="306">
      <c r="B306" s="148"/>
      <c r="C306" s="148"/>
      <c r="D306" s="148"/>
      <c r="E306" s="148"/>
    </row>
    <row r="307">
      <c r="B307" s="148"/>
      <c r="C307" s="148"/>
      <c r="D307" s="148"/>
      <c r="E307" s="148"/>
    </row>
    <row r="308">
      <c r="B308" s="148"/>
      <c r="C308" s="148"/>
      <c r="D308" s="148"/>
      <c r="E308" s="148"/>
    </row>
    <row r="309">
      <c r="B309" s="148"/>
      <c r="C309" s="148"/>
      <c r="D309" s="148"/>
      <c r="E309" s="148"/>
    </row>
    <row r="310">
      <c r="B310" s="148"/>
      <c r="C310" s="148"/>
      <c r="D310" s="148"/>
      <c r="E310" s="148"/>
    </row>
    <row r="311">
      <c r="B311" s="148"/>
      <c r="C311" s="148"/>
      <c r="D311" s="148"/>
      <c r="E311" s="148"/>
    </row>
    <row r="312">
      <c r="B312" s="148"/>
      <c r="C312" s="148"/>
      <c r="D312" s="148"/>
      <c r="E312" s="148"/>
    </row>
    <row r="313">
      <c r="B313" s="148"/>
      <c r="C313" s="148"/>
      <c r="D313" s="148"/>
      <c r="E313" s="148"/>
    </row>
    <row r="314">
      <c r="B314" s="148"/>
      <c r="C314" s="148"/>
      <c r="D314" s="148"/>
      <c r="E314" s="148"/>
    </row>
    <row r="315">
      <c r="B315" s="148"/>
      <c r="C315" s="148"/>
      <c r="D315" s="148"/>
      <c r="E315" s="148"/>
    </row>
    <row r="316">
      <c r="B316" s="148"/>
      <c r="C316" s="148"/>
      <c r="D316" s="148"/>
      <c r="E316" s="148"/>
    </row>
    <row r="317">
      <c r="B317" s="148"/>
      <c r="C317" s="148"/>
      <c r="D317" s="148"/>
      <c r="E317" s="148"/>
    </row>
    <row r="318">
      <c r="B318" s="148"/>
      <c r="C318" s="148"/>
      <c r="D318" s="148"/>
      <c r="E318" s="148"/>
    </row>
    <row r="319">
      <c r="B319" s="148"/>
      <c r="C319" s="148"/>
      <c r="D319" s="148"/>
      <c r="E319" s="148"/>
    </row>
    <row r="320">
      <c r="B320" s="148"/>
      <c r="C320" s="148"/>
      <c r="D320" s="148"/>
      <c r="E320" s="148"/>
    </row>
    <row r="321">
      <c r="B321" s="148"/>
      <c r="C321" s="148"/>
      <c r="D321" s="148"/>
      <c r="E321" s="148"/>
    </row>
    <row r="322">
      <c r="B322" s="148"/>
      <c r="C322" s="148"/>
      <c r="D322" s="148"/>
      <c r="E322" s="148"/>
    </row>
    <row r="323">
      <c r="B323" s="148"/>
      <c r="C323" s="148"/>
      <c r="D323" s="148"/>
      <c r="E323" s="148"/>
    </row>
    <row r="324">
      <c r="B324" s="148"/>
      <c r="C324" s="148"/>
      <c r="D324" s="148"/>
      <c r="E324" s="148"/>
    </row>
    <row r="325">
      <c r="B325" s="148"/>
      <c r="C325" s="148"/>
      <c r="D325" s="148"/>
      <c r="E325" s="148"/>
    </row>
    <row r="326">
      <c r="B326" s="148"/>
      <c r="C326" s="148"/>
      <c r="D326" s="148"/>
      <c r="E326" s="148"/>
    </row>
    <row r="327">
      <c r="B327" s="148"/>
      <c r="C327" s="148"/>
      <c r="D327" s="148"/>
      <c r="E327" s="148"/>
    </row>
    <row r="328">
      <c r="B328" s="148"/>
      <c r="C328" s="148"/>
      <c r="D328" s="148"/>
      <c r="E328" s="148"/>
    </row>
    <row r="329">
      <c r="B329" s="148"/>
      <c r="C329" s="148"/>
      <c r="D329" s="148"/>
      <c r="E329" s="148"/>
    </row>
    <row r="330">
      <c r="B330" s="148"/>
      <c r="C330" s="148"/>
      <c r="D330" s="148"/>
      <c r="E330" s="148"/>
    </row>
    <row r="331">
      <c r="B331" s="148"/>
      <c r="C331" s="148"/>
      <c r="D331" s="148"/>
      <c r="E331" s="148"/>
    </row>
    <row r="332">
      <c r="B332" s="148"/>
      <c r="C332" s="148"/>
      <c r="D332" s="148"/>
      <c r="E332" s="148"/>
    </row>
    <row r="333">
      <c r="B333" s="148"/>
      <c r="C333" s="148"/>
      <c r="D333" s="148"/>
      <c r="E333" s="148"/>
    </row>
    <row r="334">
      <c r="B334" s="148"/>
      <c r="C334" s="148"/>
      <c r="D334" s="148"/>
      <c r="E334" s="148"/>
    </row>
    <row r="335">
      <c r="B335" s="148"/>
      <c r="C335" s="148"/>
      <c r="D335" s="148"/>
      <c r="E335" s="148"/>
    </row>
    <row r="336">
      <c r="B336" s="148"/>
      <c r="C336" s="148"/>
      <c r="D336" s="148"/>
      <c r="E336" s="148"/>
    </row>
    <row r="337">
      <c r="B337" s="148"/>
      <c r="C337" s="148"/>
      <c r="D337" s="148"/>
      <c r="E337" s="148"/>
    </row>
    <row r="338">
      <c r="B338" s="148"/>
      <c r="C338" s="148"/>
      <c r="D338" s="148"/>
      <c r="E338" s="148"/>
    </row>
    <row r="339">
      <c r="B339" s="148"/>
      <c r="C339" s="148"/>
      <c r="D339" s="148"/>
      <c r="E339" s="148"/>
    </row>
    <row r="340">
      <c r="B340" s="148"/>
      <c r="C340" s="148"/>
      <c r="D340" s="148"/>
      <c r="E340" s="148"/>
    </row>
    <row r="341">
      <c r="B341" s="148"/>
      <c r="C341" s="148"/>
      <c r="D341" s="148"/>
      <c r="E341" s="148"/>
    </row>
    <row r="342">
      <c r="B342" s="148"/>
      <c r="C342" s="148"/>
      <c r="D342" s="148"/>
      <c r="E342" s="148"/>
    </row>
    <row r="343">
      <c r="B343" s="148"/>
      <c r="C343" s="148"/>
      <c r="D343" s="148"/>
      <c r="E343" s="148"/>
    </row>
    <row r="344">
      <c r="B344" s="148"/>
      <c r="C344" s="148"/>
      <c r="D344" s="148"/>
      <c r="E344" s="148"/>
    </row>
    <row r="345">
      <c r="B345" s="148"/>
      <c r="C345" s="148"/>
      <c r="D345" s="148"/>
      <c r="E345" s="148"/>
    </row>
    <row r="346">
      <c r="B346" s="148"/>
      <c r="C346" s="148"/>
      <c r="D346" s="148"/>
      <c r="E346" s="148"/>
    </row>
    <row r="347">
      <c r="B347" s="148"/>
      <c r="C347" s="148"/>
      <c r="D347" s="148"/>
      <c r="E347" s="148"/>
    </row>
    <row r="348">
      <c r="B348" s="148"/>
      <c r="C348" s="148"/>
      <c r="D348" s="148"/>
      <c r="E348" s="148"/>
    </row>
    <row r="349">
      <c r="B349" s="148"/>
      <c r="C349" s="148"/>
      <c r="D349" s="148"/>
      <c r="E349" s="148"/>
    </row>
    <row r="350">
      <c r="B350" s="148"/>
      <c r="C350" s="148"/>
      <c r="D350" s="148"/>
      <c r="E350" s="148"/>
    </row>
    <row r="351">
      <c r="B351" s="148"/>
      <c r="C351" s="148"/>
      <c r="D351" s="148"/>
      <c r="E351" s="148"/>
    </row>
    <row r="352">
      <c r="B352" s="148"/>
      <c r="C352" s="148"/>
      <c r="D352" s="148"/>
      <c r="E352" s="148"/>
    </row>
    <row r="353">
      <c r="B353" s="148"/>
      <c r="C353" s="148"/>
      <c r="D353" s="148"/>
      <c r="E353" s="148"/>
    </row>
    <row r="354">
      <c r="B354" s="148"/>
      <c r="C354" s="148"/>
      <c r="D354" s="148"/>
      <c r="E354" s="148"/>
    </row>
    <row r="355">
      <c r="B355" s="148"/>
      <c r="C355" s="148"/>
      <c r="D355" s="148"/>
      <c r="E355" s="148"/>
    </row>
    <row r="356">
      <c r="B356" s="148"/>
      <c r="C356" s="148"/>
      <c r="D356" s="148"/>
      <c r="E356" s="148"/>
    </row>
    <row r="357">
      <c r="B357" s="148"/>
      <c r="C357" s="148"/>
      <c r="D357" s="148"/>
      <c r="E357" s="148"/>
    </row>
    <row r="358">
      <c r="B358" s="148"/>
      <c r="C358" s="148"/>
      <c r="D358" s="148"/>
      <c r="E358" s="148"/>
    </row>
    <row r="359">
      <c r="B359" s="148"/>
      <c r="C359" s="148"/>
      <c r="D359" s="148"/>
      <c r="E359" s="148"/>
    </row>
    <row r="360">
      <c r="B360" s="148"/>
      <c r="C360" s="148"/>
      <c r="D360" s="148"/>
      <c r="E360" s="148"/>
    </row>
    <row r="361">
      <c r="B361" s="148"/>
      <c r="C361" s="148"/>
      <c r="D361" s="148"/>
      <c r="E361" s="148"/>
    </row>
    <row r="362">
      <c r="B362" s="148"/>
      <c r="C362" s="148"/>
      <c r="D362" s="148"/>
      <c r="E362" s="148"/>
    </row>
    <row r="363">
      <c r="B363" s="148"/>
      <c r="C363" s="148"/>
      <c r="D363" s="148"/>
      <c r="E363" s="148"/>
    </row>
    <row r="364">
      <c r="B364" s="148"/>
      <c r="C364" s="148"/>
      <c r="D364" s="148"/>
      <c r="E364" s="148"/>
    </row>
    <row r="365">
      <c r="B365" s="148"/>
      <c r="C365" s="148"/>
      <c r="D365" s="148"/>
      <c r="E365" s="148"/>
    </row>
    <row r="366">
      <c r="B366" s="148"/>
      <c r="C366" s="148"/>
      <c r="D366" s="148"/>
      <c r="E366" s="148"/>
    </row>
    <row r="367">
      <c r="B367" s="148"/>
      <c r="C367" s="148"/>
      <c r="D367" s="148"/>
      <c r="E367" s="148"/>
    </row>
    <row r="368">
      <c r="B368" s="148"/>
      <c r="C368" s="148"/>
      <c r="D368" s="148"/>
      <c r="E368" s="148"/>
    </row>
    <row r="369">
      <c r="B369" s="148"/>
      <c r="C369" s="148"/>
      <c r="D369" s="148"/>
      <c r="E369" s="148"/>
    </row>
    <row r="370">
      <c r="B370" s="148"/>
      <c r="C370" s="148"/>
      <c r="D370" s="148"/>
      <c r="E370" s="148"/>
    </row>
    <row r="371">
      <c r="B371" s="148"/>
      <c r="C371" s="148"/>
      <c r="D371" s="148"/>
      <c r="E371" s="148"/>
    </row>
    <row r="372">
      <c r="B372" s="148"/>
      <c r="C372" s="148"/>
      <c r="D372" s="148"/>
      <c r="E372" s="148"/>
    </row>
    <row r="373">
      <c r="B373" s="148"/>
      <c r="C373" s="148"/>
      <c r="D373" s="148"/>
      <c r="E373" s="148"/>
    </row>
    <row r="374">
      <c r="B374" s="148"/>
      <c r="C374" s="148"/>
      <c r="D374" s="148"/>
      <c r="E374" s="148"/>
    </row>
    <row r="375">
      <c r="B375" s="148"/>
      <c r="C375" s="148"/>
      <c r="D375" s="148"/>
      <c r="E375" s="148"/>
    </row>
    <row r="376">
      <c r="B376" s="148"/>
      <c r="C376" s="148"/>
      <c r="D376" s="148"/>
      <c r="E376" s="148"/>
    </row>
    <row r="377">
      <c r="B377" s="148"/>
      <c r="C377" s="148"/>
      <c r="D377" s="148"/>
      <c r="E377" s="148"/>
    </row>
    <row r="378">
      <c r="B378" s="148"/>
      <c r="C378" s="148"/>
      <c r="D378" s="148"/>
      <c r="E378" s="148"/>
    </row>
    <row r="379">
      <c r="B379" s="148"/>
      <c r="C379" s="148"/>
      <c r="D379" s="148"/>
      <c r="E379" s="148"/>
    </row>
    <row r="380">
      <c r="B380" s="148"/>
      <c r="C380" s="148"/>
      <c r="D380" s="148"/>
      <c r="E380" s="148"/>
    </row>
    <row r="381">
      <c r="B381" s="148"/>
      <c r="C381" s="148"/>
      <c r="D381" s="148"/>
      <c r="E381" s="148"/>
    </row>
    <row r="382">
      <c r="B382" s="148"/>
      <c r="C382" s="148"/>
      <c r="D382" s="148"/>
      <c r="E382" s="148"/>
    </row>
    <row r="383">
      <c r="B383" s="148"/>
      <c r="C383" s="148"/>
      <c r="D383" s="148"/>
      <c r="E383" s="148"/>
    </row>
    <row r="384">
      <c r="B384" s="148"/>
      <c r="C384" s="148"/>
      <c r="D384" s="148"/>
      <c r="E384" s="148"/>
    </row>
    <row r="385">
      <c r="B385" s="148"/>
      <c r="C385" s="148"/>
      <c r="D385" s="148"/>
      <c r="E385" s="148"/>
    </row>
    <row r="386">
      <c r="B386" s="148"/>
      <c r="C386" s="148"/>
      <c r="D386" s="148"/>
      <c r="E386" s="148"/>
    </row>
    <row r="387">
      <c r="B387" s="148"/>
      <c r="C387" s="148"/>
      <c r="D387" s="148"/>
      <c r="E387" s="148"/>
    </row>
    <row r="388">
      <c r="B388" s="148"/>
      <c r="C388" s="148"/>
      <c r="D388" s="148"/>
      <c r="E388" s="148"/>
    </row>
    <row r="389">
      <c r="B389" s="148"/>
      <c r="C389" s="148"/>
      <c r="D389" s="148"/>
      <c r="E389" s="148"/>
    </row>
    <row r="390">
      <c r="B390" s="148"/>
      <c r="C390" s="148"/>
      <c r="D390" s="148"/>
      <c r="E390" s="148"/>
    </row>
    <row r="391">
      <c r="B391" s="148"/>
      <c r="C391" s="148"/>
      <c r="D391" s="148"/>
      <c r="E391" s="148"/>
    </row>
    <row r="392">
      <c r="B392" s="148"/>
      <c r="C392" s="148"/>
      <c r="D392" s="148"/>
      <c r="E392" s="148"/>
    </row>
    <row r="393">
      <c r="B393" s="148"/>
      <c r="C393" s="148"/>
      <c r="D393" s="148"/>
      <c r="E393" s="148"/>
    </row>
    <row r="394">
      <c r="B394" s="148"/>
      <c r="C394" s="148"/>
      <c r="D394" s="148"/>
      <c r="E394" s="148"/>
    </row>
    <row r="395">
      <c r="B395" s="148"/>
      <c r="C395" s="148"/>
      <c r="D395" s="148"/>
      <c r="E395" s="148"/>
    </row>
    <row r="396">
      <c r="B396" s="148"/>
      <c r="C396" s="148"/>
      <c r="D396" s="148"/>
      <c r="E396" s="148"/>
    </row>
    <row r="397">
      <c r="B397" s="148"/>
      <c r="C397" s="148"/>
      <c r="D397" s="148"/>
      <c r="E397" s="148"/>
    </row>
    <row r="398">
      <c r="B398" s="148"/>
      <c r="C398" s="148"/>
      <c r="D398" s="148"/>
      <c r="E398" s="148"/>
    </row>
    <row r="399">
      <c r="B399" s="148"/>
      <c r="C399" s="148"/>
      <c r="D399" s="148"/>
      <c r="E399" s="148"/>
    </row>
    <row r="400">
      <c r="B400" s="148"/>
      <c r="C400" s="148"/>
      <c r="D400" s="148"/>
      <c r="E400" s="148"/>
    </row>
    <row r="401">
      <c r="B401" s="148"/>
      <c r="C401" s="148"/>
      <c r="D401" s="148"/>
      <c r="E401" s="148"/>
    </row>
    <row r="402">
      <c r="B402" s="148"/>
      <c r="C402" s="148"/>
      <c r="D402" s="148"/>
      <c r="E402" s="148"/>
    </row>
    <row r="403">
      <c r="B403" s="148"/>
      <c r="C403" s="148"/>
      <c r="D403" s="148"/>
      <c r="E403" s="148"/>
    </row>
    <row r="404">
      <c r="B404" s="148"/>
      <c r="C404" s="148"/>
      <c r="D404" s="148"/>
      <c r="E404" s="148"/>
    </row>
    <row r="405">
      <c r="B405" s="148"/>
      <c r="C405" s="148"/>
      <c r="D405" s="148"/>
      <c r="E405" s="148"/>
    </row>
    <row r="406">
      <c r="B406" s="148"/>
      <c r="C406" s="148"/>
      <c r="D406" s="148"/>
      <c r="E406" s="148"/>
    </row>
    <row r="407">
      <c r="B407" s="148"/>
      <c r="C407" s="148"/>
      <c r="D407" s="148"/>
      <c r="E407" s="148"/>
    </row>
    <row r="408">
      <c r="B408" s="148"/>
      <c r="C408" s="148"/>
      <c r="D408" s="148"/>
      <c r="E408" s="148"/>
    </row>
    <row r="409">
      <c r="B409" s="148"/>
      <c r="C409" s="148"/>
      <c r="D409" s="148"/>
      <c r="E409" s="148"/>
    </row>
    <row r="410">
      <c r="B410" s="148"/>
      <c r="C410" s="148"/>
      <c r="D410" s="148"/>
      <c r="E410" s="148"/>
    </row>
    <row r="411">
      <c r="B411" s="148"/>
      <c r="C411" s="148"/>
      <c r="D411" s="148"/>
      <c r="E411" s="148"/>
    </row>
    <row r="412">
      <c r="B412" s="148"/>
      <c r="C412" s="148"/>
      <c r="D412" s="148"/>
      <c r="E412" s="148"/>
    </row>
    <row r="413">
      <c r="B413" s="148"/>
      <c r="C413" s="148"/>
      <c r="D413" s="148"/>
      <c r="E413" s="148"/>
    </row>
    <row r="414">
      <c r="B414" s="148"/>
      <c r="C414" s="148"/>
      <c r="D414" s="148"/>
      <c r="E414" s="148"/>
    </row>
    <row r="415">
      <c r="B415" s="148"/>
      <c r="C415" s="148"/>
      <c r="D415" s="148"/>
      <c r="E415" s="148"/>
    </row>
    <row r="416">
      <c r="B416" s="148"/>
      <c r="C416" s="148"/>
      <c r="D416" s="148"/>
      <c r="E416" s="148"/>
    </row>
    <row r="417">
      <c r="B417" s="148"/>
      <c r="C417" s="148"/>
      <c r="D417" s="148"/>
      <c r="E417" s="148"/>
    </row>
    <row r="418">
      <c r="B418" s="148"/>
      <c r="C418" s="148"/>
      <c r="D418" s="148"/>
      <c r="E418" s="148"/>
    </row>
    <row r="419">
      <c r="B419" s="148"/>
      <c r="C419" s="148"/>
      <c r="D419" s="148"/>
      <c r="E419" s="148"/>
    </row>
    <row r="420">
      <c r="B420" s="148"/>
      <c r="C420" s="148"/>
      <c r="D420" s="148"/>
      <c r="E420" s="148"/>
    </row>
    <row r="421">
      <c r="B421" s="148"/>
      <c r="C421" s="148"/>
      <c r="D421" s="148"/>
      <c r="E421" s="148"/>
    </row>
    <row r="422">
      <c r="B422" s="148"/>
      <c r="C422" s="148"/>
      <c r="D422" s="148"/>
      <c r="E422" s="148"/>
    </row>
    <row r="423">
      <c r="B423" s="148"/>
      <c r="C423" s="148"/>
      <c r="D423" s="148"/>
      <c r="E423" s="148"/>
    </row>
    <row r="424">
      <c r="B424" s="148"/>
      <c r="C424" s="148"/>
      <c r="D424" s="148"/>
      <c r="E424" s="148"/>
    </row>
    <row r="425">
      <c r="B425" s="148"/>
      <c r="C425" s="148"/>
      <c r="D425" s="148"/>
      <c r="E425" s="148"/>
    </row>
    <row r="426">
      <c r="B426" s="148"/>
      <c r="C426" s="148"/>
      <c r="D426" s="148"/>
      <c r="E426" s="148"/>
    </row>
    <row r="427">
      <c r="B427" s="148"/>
      <c r="C427" s="148"/>
      <c r="D427" s="148"/>
      <c r="E427" s="148"/>
    </row>
    <row r="428">
      <c r="B428" s="148"/>
      <c r="C428" s="148"/>
      <c r="D428" s="148"/>
      <c r="E428" s="148"/>
    </row>
    <row r="429">
      <c r="B429" s="148"/>
      <c r="C429" s="148"/>
      <c r="D429" s="148"/>
      <c r="E429" s="148"/>
    </row>
    <row r="430">
      <c r="B430" s="148"/>
      <c r="C430" s="148"/>
      <c r="D430" s="148"/>
      <c r="E430" s="148"/>
    </row>
    <row r="431">
      <c r="B431" s="148"/>
      <c r="C431" s="148"/>
      <c r="D431" s="148"/>
      <c r="E431" s="148"/>
    </row>
    <row r="432">
      <c r="B432" s="148"/>
      <c r="C432" s="148"/>
      <c r="D432" s="148"/>
      <c r="E432" s="148"/>
    </row>
    <row r="433">
      <c r="B433" s="148"/>
      <c r="C433" s="148"/>
      <c r="D433" s="148"/>
      <c r="E433" s="148"/>
    </row>
    <row r="434">
      <c r="B434" s="148"/>
      <c r="C434" s="148"/>
      <c r="D434" s="148"/>
      <c r="E434" s="148"/>
    </row>
    <row r="435">
      <c r="B435" s="148"/>
      <c r="C435" s="148"/>
      <c r="D435" s="148"/>
      <c r="E435" s="148"/>
    </row>
    <row r="436">
      <c r="B436" s="148"/>
      <c r="C436" s="148"/>
      <c r="D436" s="148"/>
      <c r="E436" s="148"/>
    </row>
    <row r="437">
      <c r="B437" s="148"/>
      <c r="C437" s="148"/>
      <c r="D437" s="148"/>
      <c r="E437" s="148"/>
    </row>
    <row r="438">
      <c r="B438" s="148"/>
      <c r="C438" s="148"/>
      <c r="D438" s="148"/>
      <c r="E438" s="148"/>
    </row>
    <row r="439">
      <c r="B439" s="148"/>
      <c r="C439" s="148"/>
      <c r="D439" s="148"/>
      <c r="E439" s="148"/>
    </row>
    <row r="440">
      <c r="B440" s="148"/>
      <c r="C440" s="148"/>
      <c r="D440" s="148"/>
      <c r="E440" s="148"/>
    </row>
    <row r="441">
      <c r="B441" s="148"/>
      <c r="C441" s="148"/>
      <c r="D441" s="148"/>
      <c r="E441" s="148"/>
    </row>
    <row r="442">
      <c r="B442" s="148"/>
      <c r="C442" s="148"/>
      <c r="D442" s="148"/>
      <c r="E442" s="148"/>
    </row>
    <row r="443">
      <c r="B443" s="148"/>
      <c r="C443" s="148"/>
      <c r="D443" s="148"/>
      <c r="E443" s="148"/>
    </row>
    <row r="444">
      <c r="B444" s="148"/>
      <c r="C444" s="148"/>
      <c r="D444" s="148"/>
      <c r="E444" s="148"/>
    </row>
    <row r="445">
      <c r="B445" s="148"/>
      <c r="C445" s="148"/>
      <c r="D445" s="148"/>
      <c r="E445" s="148"/>
    </row>
    <row r="446">
      <c r="B446" s="148"/>
      <c r="C446" s="148"/>
      <c r="D446" s="148"/>
      <c r="E446" s="148"/>
    </row>
    <row r="447">
      <c r="B447" s="148"/>
      <c r="C447" s="148"/>
      <c r="D447" s="148"/>
      <c r="E447" s="148"/>
    </row>
    <row r="448">
      <c r="B448" s="148"/>
      <c r="C448" s="148"/>
      <c r="D448" s="148"/>
      <c r="E448" s="148"/>
    </row>
    <row r="449">
      <c r="B449" s="148"/>
      <c r="C449" s="148"/>
      <c r="D449" s="148"/>
      <c r="E449" s="148"/>
    </row>
    <row r="450">
      <c r="B450" s="148"/>
      <c r="C450" s="148"/>
      <c r="D450" s="148"/>
      <c r="E450" s="148"/>
    </row>
    <row r="451">
      <c r="B451" s="148"/>
      <c r="C451" s="148"/>
      <c r="D451" s="148"/>
      <c r="E451" s="148"/>
    </row>
    <row r="452">
      <c r="B452" s="148"/>
      <c r="C452" s="148"/>
      <c r="D452" s="148"/>
      <c r="E452" s="148"/>
    </row>
    <row r="453">
      <c r="B453" s="148"/>
      <c r="C453" s="148"/>
      <c r="D453" s="148"/>
      <c r="E453" s="148"/>
    </row>
    <row r="454">
      <c r="B454" s="148"/>
      <c r="C454" s="148"/>
      <c r="D454" s="148"/>
      <c r="E454" s="148"/>
    </row>
    <row r="455">
      <c r="B455" s="148"/>
      <c r="C455" s="148"/>
      <c r="D455" s="148"/>
      <c r="E455" s="148"/>
    </row>
    <row r="456">
      <c r="B456" s="148"/>
      <c r="C456" s="148"/>
      <c r="D456" s="148"/>
      <c r="E456" s="148"/>
    </row>
    <row r="457">
      <c r="B457" s="148"/>
      <c r="C457" s="148"/>
      <c r="D457" s="148"/>
      <c r="E457" s="148"/>
    </row>
    <row r="458">
      <c r="B458" s="148"/>
      <c r="C458" s="148"/>
      <c r="D458" s="148"/>
      <c r="E458" s="148"/>
    </row>
    <row r="459">
      <c r="B459" s="148"/>
      <c r="C459" s="148"/>
      <c r="D459" s="148"/>
      <c r="E459" s="148"/>
    </row>
    <row r="460">
      <c r="B460" s="148"/>
      <c r="C460" s="148"/>
      <c r="D460" s="148"/>
      <c r="E460" s="148"/>
    </row>
    <row r="461">
      <c r="B461" s="148"/>
      <c r="C461" s="148"/>
      <c r="D461" s="148"/>
      <c r="E461" s="148"/>
    </row>
    <row r="462">
      <c r="B462" s="148"/>
      <c r="C462" s="148"/>
      <c r="D462" s="148"/>
      <c r="E462" s="148"/>
    </row>
    <row r="463">
      <c r="B463" s="148"/>
      <c r="C463" s="148"/>
      <c r="D463" s="148"/>
      <c r="E463" s="148"/>
    </row>
    <row r="464">
      <c r="B464" s="148"/>
      <c r="C464" s="148"/>
      <c r="D464" s="148"/>
      <c r="E464" s="148"/>
    </row>
    <row r="465">
      <c r="B465" s="148"/>
      <c r="C465" s="148"/>
      <c r="D465" s="148"/>
      <c r="E465" s="148"/>
    </row>
    <row r="466">
      <c r="B466" s="148"/>
      <c r="C466" s="148"/>
      <c r="D466" s="148"/>
      <c r="E466" s="148"/>
    </row>
    <row r="467">
      <c r="B467" s="148"/>
      <c r="C467" s="148"/>
      <c r="D467" s="148"/>
      <c r="E467" s="148"/>
    </row>
    <row r="468">
      <c r="B468" s="148"/>
      <c r="C468" s="148"/>
      <c r="D468" s="148"/>
      <c r="E468" s="148"/>
    </row>
    <row r="469">
      <c r="B469" s="148"/>
      <c r="C469" s="148"/>
      <c r="D469" s="148"/>
      <c r="E469" s="148"/>
    </row>
    <row r="470">
      <c r="B470" s="148"/>
      <c r="C470" s="148"/>
      <c r="D470" s="148"/>
      <c r="E470" s="148"/>
    </row>
    <row r="471">
      <c r="B471" s="148"/>
      <c r="C471" s="148"/>
      <c r="D471" s="148"/>
      <c r="E471" s="148"/>
    </row>
    <row r="472">
      <c r="B472" s="148"/>
      <c r="C472" s="148"/>
      <c r="D472" s="148"/>
      <c r="E472" s="148"/>
    </row>
    <row r="473">
      <c r="B473" s="148"/>
      <c r="C473" s="148"/>
      <c r="D473" s="148"/>
      <c r="E473" s="148"/>
    </row>
    <row r="474">
      <c r="B474" s="148"/>
      <c r="C474" s="148"/>
      <c r="D474" s="148"/>
      <c r="E474" s="148"/>
    </row>
    <row r="475">
      <c r="B475" s="148"/>
      <c r="C475" s="148"/>
      <c r="D475" s="148"/>
      <c r="E475" s="148"/>
    </row>
    <row r="476">
      <c r="B476" s="148"/>
      <c r="C476" s="148"/>
      <c r="D476" s="148"/>
      <c r="E476" s="148"/>
    </row>
    <row r="477">
      <c r="B477" s="148"/>
      <c r="C477" s="148"/>
      <c r="D477" s="148"/>
      <c r="E477" s="148"/>
    </row>
    <row r="478">
      <c r="B478" s="148"/>
      <c r="C478" s="148"/>
      <c r="D478" s="148"/>
      <c r="E478" s="148"/>
    </row>
    <row r="479">
      <c r="B479" s="148"/>
      <c r="C479" s="148"/>
      <c r="D479" s="148"/>
      <c r="E479" s="148"/>
    </row>
    <row r="480">
      <c r="B480" s="148"/>
      <c r="C480" s="148"/>
      <c r="D480" s="148"/>
      <c r="E480" s="148"/>
    </row>
    <row r="481">
      <c r="B481" s="148"/>
      <c r="C481" s="148"/>
      <c r="D481" s="148"/>
      <c r="E481" s="148"/>
    </row>
    <row r="482">
      <c r="B482" s="148"/>
      <c r="C482" s="148"/>
      <c r="D482" s="148"/>
      <c r="E482" s="148"/>
    </row>
    <row r="483">
      <c r="B483" s="148"/>
      <c r="C483" s="148"/>
      <c r="D483" s="148"/>
      <c r="E483" s="148"/>
    </row>
    <row r="484">
      <c r="B484" s="148"/>
      <c r="C484" s="148"/>
      <c r="D484" s="148"/>
      <c r="E484" s="148"/>
    </row>
    <row r="485">
      <c r="B485" s="148"/>
      <c r="C485" s="148"/>
      <c r="D485" s="148"/>
      <c r="E485" s="148"/>
    </row>
    <row r="486">
      <c r="B486" s="148"/>
      <c r="C486" s="148"/>
      <c r="D486" s="148"/>
      <c r="E486" s="148"/>
    </row>
    <row r="487">
      <c r="B487" s="148"/>
      <c r="C487" s="148"/>
      <c r="D487" s="148"/>
      <c r="E487" s="148"/>
    </row>
    <row r="488">
      <c r="B488" s="148"/>
      <c r="C488" s="148"/>
      <c r="D488" s="148"/>
      <c r="E488" s="148"/>
    </row>
    <row r="489">
      <c r="B489" s="148"/>
      <c r="C489" s="148"/>
      <c r="D489" s="148"/>
      <c r="E489" s="148"/>
    </row>
    <row r="490">
      <c r="B490" s="148"/>
      <c r="C490" s="148"/>
      <c r="D490" s="148"/>
      <c r="E490" s="148"/>
    </row>
    <row r="491">
      <c r="B491" s="148"/>
      <c r="C491" s="148"/>
      <c r="D491" s="148"/>
      <c r="E491" s="148"/>
    </row>
    <row r="492">
      <c r="B492" s="148"/>
      <c r="C492" s="148"/>
      <c r="D492" s="148"/>
      <c r="E492" s="148"/>
    </row>
    <row r="493">
      <c r="B493" s="148"/>
      <c r="C493" s="148"/>
      <c r="D493" s="148"/>
      <c r="E493" s="148"/>
    </row>
    <row r="494">
      <c r="B494" s="148"/>
      <c r="C494" s="148"/>
      <c r="D494" s="148"/>
      <c r="E494" s="148"/>
    </row>
    <row r="495">
      <c r="B495" s="148"/>
      <c r="C495" s="148"/>
      <c r="D495" s="148"/>
      <c r="E495" s="148"/>
    </row>
    <row r="496">
      <c r="B496" s="148"/>
      <c r="C496" s="148"/>
      <c r="D496" s="148"/>
      <c r="E496" s="148"/>
    </row>
    <row r="497">
      <c r="B497" s="148"/>
      <c r="C497" s="148"/>
      <c r="D497" s="148"/>
      <c r="E497" s="148"/>
    </row>
    <row r="498">
      <c r="B498" s="148"/>
      <c r="C498" s="148"/>
      <c r="D498" s="148"/>
      <c r="E498" s="148"/>
    </row>
    <row r="499">
      <c r="B499" s="148"/>
      <c r="C499" s="148"/>
      <c r="D499" s="148"/>
      <c r="E499" s="148"/>
    </row>
    <row r="500">
      <c r="B500" s="148"/>
      <c r="C500" s="148"/>
      <c r="D500" s="148"/>
      <c r="E500" s="148"/>
    </row>
    <row r="501">
      <c r="B501" s="148"/>
      <c r="C501" s="148"/>
      <c r="D501" s="148"/>
      <c r="E501" s="148"/>
    </row>
    <row r="502">
      <c r="B502" s="148"/>
      <c r="C502" s="148"/>
      <c r="D502" s="148"/>
      <c r="E502" s="148"/>
    </row>
    <row r="503">
      <c r="B503" s="148"/>
      <c r="C503" s="148"/>
      <c r="D503" s="148"/>
      <c r="E503" s="148"/>
    </row>
    <row r="504">
      <c r="B504" s="148"/>
      <c r="C504" s="148"/>
      <c r="D504" s="148"/>
      <c r="E504" s="148"/>
    </row>
    <row r="505">
      <c r="B505" s="148"/>
      <c r="C505" s="148"/>
      <c r="D505" s="148"/>
      <c r="E505" s="148"/>
    </row>
    <row r="506">
      <c r="B506" s="148"/>
      <c r="C506" s="148"/>
      <c r="D506" s="148"/>
      <c r="E506" s="148"/>
    </row>
    <row r="507">
      <c r="B507" s="148"/>
      <c r="C507" s="148"/>
      <c r="D507" s="148"/>
      <c r="E507" s="148"/>
    </row>
    <row r="508">
      <c r="B508" s="148"/>
      <c r="C508" s="148"/>
      <c r="D508" s="148"/>
      <c r="E508" s="148"/>
    </row>
    <row r="509">
      <c r="B509" s="148"/>
      <c r="C509" s="148"/>
      <c r="D509" s="148"/>
      <c r="E509" s="148"/>
    </row>
    <row r="510">
      <c r="B510" s="148"/>
      <c r="C510" s="148"/>
      <c r="D510" s="148"/>
      <c r="E510" s="148"/>
    </row>
    <row r="511">
      <c r="B511" s="148"/>
      <c r="C511" s="148"/>
      <c r="D511" s="148"/>
      <c r="E511" s="148"/>
    </row>
    <row r="512">
      <c r="B512" s="148"/>
      <c r="C512" s="148"/>
      <c r="D512" s="148"/>
      <c r="E512" s="148"/>
    </row>
    <row r="513">
      <c r="B513" s="148"/>
      <c r="C513" s="148"/>
      <c r="D513" s="148"/>
      <c r="E513" s="148"/>
    </row>
    <row r="514">
      <c r="B514" s="148"/>
      <c r="C514" s="148"/>
      <c r="D514" s="148"/>
      <c r="E514" s="148"/>
    </row>
    <row r="515">
      <c r="B515" s="148"/>
      <c r="C515" s="148"/>
      <c r="D515" s="148"/>
      <c r="E515" s="148"/>
    </row>
    <row r="516">
      <c r="B516" s="148"/>
      <c r="C516" s="148"/>
      <c r="D516" s="148"/>
      <c r="E516" s="148"/>
    </row>
    <row r="517">
      <c r="B517" s="148"/>
      <c r="C517" s="148"/>
      <c r="D517" s="148"/>
      <c r="E517" s="148"/>
    </row>
    <row r="518">
      <c r="B518" s="148"/>
      <c r="C518" s="148"/>
      <c r="D518" s="148"/>
      <c r="E518" s="148"/>
    </row>
    <row r="519">
      <c r="B519" s="148"/>
      <c r="C519" s="148"/>
      <c r="D519" s="148"/>
      <c r="E519" s="148"/>
    </row>
    <row r="520">
      <c r="B520" s="148"/>
      <c r="C520" s="148"/>
      <c r="D520" s="148"/>
      <c r="E520" s="148"/>
    </row>
    <row r="521">
      <c r="B521" s="148"/>
      <c r="C521" s="148"/>
      <c r="D521" s="148"/>
      <c r="E521" s="148"/>
    </row>
    <row r="522">
      <c r="B522" s="148"/>
      <c r="C522" s="148"/>
      <c r="D522" s="148"/>
      <c r="E522" s="148"/>
    </row>
    <row r="523">
      <c r="B523" s="148"/>
      <c r="C523" s="148"/>
      <c r="D523" s="148"/>
      <c r="E523" s="148"/>
    </row>
    <row r="524">
      <c r="B524" s="148"/>
      <c r="C524" s="148"/>
      <c r="D524" s="148"/>
      <c r="E524" s="148"/>
    </row>
    <row r="525">
      <c r="B525" s="148"/>
      <c r="C525" s="148"/>
      <c r="D525" s="148"/>
      <c r="E525" s="148"/>
    </row>
    <row r="526">
      <c r="B526" s="148"/>
      <c r="C526" s="148"/>
      <c r="D526" s="148"/>
      <c r="E526" s="148"/>
    </row>
    <row r="527">
      <c r="B527" s="148"/>
      <c r="C527" s="148"/>
      <c r="D527" s="148"/>
      <c r="E527" s="148"/>
    </row>
    <row r="528">
      <c r="B528" s="148"/>
      <c r="C528" s="148"/>
      <c r="D528" s="148"/>
      <c r="E528" s="148"/>
    </row>
    <row r="529">
      <c r="B529" s="148"/>
      <c r="C529" s="148"/>
      <c r="D529" s="148"/>
      <c r="E529" s="148"/>
    </row>
    <row r="530">
      <c r="B530" s="148"/>
      <c r="C530" s="148"/>
      <c r="D530" s="148"/>
      <c r="E530" s="148"/>
    </row>
    <row r="531">
      <c r="B531" s="148"/>
      <c r="C531" s="148"/>
      <c r="D531" s="148"/>
      <c r="E531" s="148"/>
    </row>
    <row r="532">
      <c r="B532" s="148"/>
      <c r="C532" s="148"/>
      <c r="D532" s="148"/>
      <c r="E532" s="148"/>
    </row>
    <row r="533">
      <c r="B533" s="148"/>
      <c r="C533" s="148"/>
      <c r="D533" s="148"/>
      <c r="E533" s="148"/>
    </row>
    <row r="534">
      <c r="B534" s="148"/>
      <c r="C534" s="148"/>
      <c r="D534" s="148"/>
      <c r="E534" s="148"/>
    </row>
    <row r="535">
      <c r="B535" s="148"/>
      <c r="C535" s="148"/>
      <c r="D535" s="148"/>
      <c r="E535" s="148"/>
    </row>
    <row r="536">
      <c r="B536" s="148"/>
      <c r="C536" s="148"/>
      <c r="D536" s="148"/>
      <c r="E536" s="148"/>
    </row>
    <row r="537">
      <c r="B537" s="148"/>
      <c r="C537" s="148"/>
      <c r="D537" s="148"/>
      <c r="E537" s="148"/>
    </row>
    <row r="538">
      <c r="B538" s="148"/>
      <c r="C538" s="148"/>
      <c r="D538" s="148"/>
      <c r="E538" s="148"/>
    </row>
    <row r="539">
      <c r="B539" s="148"/>
      <c r="C539" s="148"/>
      <c r="D539" s="148"/>
      <c r="E539" s="148"/>
    </row>
    <row r="540">
      <c r="B540" s="148"/>
      <c r="C540" s="148"/>
      <c r="D540" s="148"/>
      <c r="E540" s="148"/>
    </row>
    <row r="541">
      <c r="B541" s="148"/>
      <c r="C541" s="148"/>
      <c r="D541" s="148"/>
      <c r="E541" s="148"/>
    </row>
    <row r="542">
      <c r="B542" s="148"/>
      <c r="C542" s="148"/>
      <c r="D542" s="148"/>
      <c r="E542" s="148"/>
    </row>
    <row r="543">
      <c r="B543" s="148"/>
      <c r="C543" s="148"/>
      <c r="D543" s="148"/>
      <c r="E543" s="148"/>
    </row>
    <row r="544">
      <c r="B544" s="148"/>
      <c r="C544" s="148"/>
      <c r="D544" s="148"/>
      <c r="E544" s="148"/>
    </row>
    <row r="545">
      <c r="B545" s="148"/>
      <c r="C545" s="148"/>
      <c r="D545" s="148"/>
      <c r="E545" s="148"/>
    </row>
    <row r="546">
      <c r="B546" s="148"/>
      <c r="C546" s="148"/>
      <c r="D546" s="148"/>
      <c r="E546" s="148"/>
    </row>
    <row r="547">
      <c r="B547" s="148"/>
      <c r="C547" s="148"/>
      <c r="D547" s="148"/>
      <c r="E547" s="148"/>
    </row>
    <row r="548">
      <c r="B548" s="148"/>
      <c r="C548" s="148"/>
      <c r="D548" s="148"/>
      <c r="E548" s="148"/>
    </row>
    <row r="549">
      <c r="B549" s="148"/>
      <c r="C549" s="148"/>
      <c r="D549" s="148"/>
      <c r="E549" s="148"/>
    </row>
    <row r="550">
      <c r="B550" s="148"/>
      <c r="C550" s="148"/>
      <c r="D550" s="148"/>
      <c r="E550" s="148"/>
    </row>
    <row r="551">
      <c r="B551" s="148"/>
      <c r="C551" s="148"/>
      <c r="D551" s="148"/>
      <c r="E551" s="148"/>
    </row>
    <row r="552">
      <c r="B552" s="148"/>
      <c r="C552" s="148"/>
      <c r="D552" s="148"/>
      <c r="E552" s="148"/>
    </row>
    <row r="553">
      <c r="B553" s="148"/>
      <c r="C553" s="148"/>
      <c r="D553" s="148"/>
      <c r="E553" s="148"/>
    </row>
    <row r="554">
      <c r="B554" s="148"/>
      <c r="C554" s="148"/>
      <c r="D554" s="148"/>
      <c r="E554" s="148"/>
    </row>
    <row r="555">
      <c r="B555" s="148"/>
      <c r="C555" s="148"/>
      <c r="D555" s="148"/>
      <c r="E555" s="148"/>
    </row>
    <row r="556">
      <c r="B556" s="148"/>
      <c r="C556" s="148"/>
      <c r="D556" s="148"/>
      <c r="E556" s="148"/>
    </row>
    <row r="557">
      <c r="B557" s="148"/>
      <c r="C557" s="148"/>
      <c r="D557" s="148"/>
      <c r="E557" s="148"/>
    </row>
    <row r="558">
      <c r="B558" s="148"/>
      <c r="C558" s="148"/>
      <c r="D558" s="148"/>
      <c r="E558" s="148"/>
    </row>
    <row r="559">
      <c r="B559" s="148"/>
      <c r="C559" s="148"/>
      <c r="D559" s="148"/>
      <c r="E559" s="148"/>
    </row>
    <row r="560">
      <c r="B560" s="148"/>
      <c r="C560" s="148"/>
      <c r="D560" s="148"/>
      <c r="E560" s="148"/>
    </row>
    <row r="561">
      <c r="B561" s="148"/>
      <c r="C561" s="148"/>
      <c r="D561" s="148"/>
      <c r="E561" s="148"/>
    </row>
    <row r="562">
      <c r="B562" s="148"/>
      <c r="C562" s="148"/>
      <c r="D562" s="148"/>
      <c r="E562" s="148"/>
    </row>
    <row r="563">
      <c r="B563" s="148"/>
      <c r="C563" s="148"/>
      <c r="D563" s="148"/>
      <c r="E563" s="148"/>
    </row>
    <row r="564">
      <c r="B564" s="148"/>
      <c r="C564" s="148"/>
      <c r="D564" s="148"/>
      <c r="E564" s="148"/>
    </row>
    <row r="565">
      <c r="B565" s="148"/>
      <c r="C565" s="148"/>
      <c r="D565" s="148"/>
      <c r="E565" s="148"/>
    </row>
    <row r="566">
      <c r="B566" s="148"/>
      <c r="C566" s="148"/>
      <c r="D566" s="148"/>
      <c r="E566" s="148"/>
    </row>
    <row r="567">
      <c r="B567" s="148"/>
      <c r="C567" s="148"/>
      <c r="D567" s="148"/>
      <c r="E567" s="148"/>
    </row>
    <row r="568">
      <c r="B568" s="148"/>
      <c r="C568" s="148"/>
      <c r="D568" s="148"/>
      <c r="E568" s="148"/>
    </row>
    <row r="569">
      <c r="B569" s="148"/>
      <c r="C569" s="148"/>
      <c r="D569" s="148"/>
      <c r="E569" s="148"/>
    </row>
    <row r="570">
      <c r="B570" s="148"/>
      <c r="C570" s="148"/>
      <c r="D570" s="148"/>
      <c r="E570" s="148"/>
    </row>
    <row r="571">
      <c r="B571" s="148"/>
      <c r="C571" s="148"/>
      <c r="D571" s="148"/>
      <c r="E571" s="148"/>
    </row>
    <row r="572">
      <c r="B572" s="148"/>
      <c r="C572" s="148"/>
      <c r="D572" s="148"/>
      <c r="E572" s="148"/>
    </row>
    <row r="573">
      <c r="B573" s="148"/>
      <c r="C573" s="148"/>
      <c r="D573" s="148"/>
      <c r="E573" s="148"/>
    </row>
    <row r="574">
      <c r="B574" s="148"/>
      <c r="C574" s="148"/>
      <c r="D574" s="148"/>
      <c r="E574" s="148"/>
    </row>
    <row r="575">
      <c r="B575" s="148"/>
      <c r="C575" s="148"/>
      <c r="D575" s="148"/>
      <c r="E575" s="148"/>
    </row>
    <row r="576">
      <c r="B576" s="148"/>
      <c r="C576" s="148"/>
      <c r="D576" s="148"/>
      <c r="E576" s="148"/>
    </row>
    <row r="577">
      <c r="B577" s="148"/>
      <c r="C577" s="148"/>
      <c r="D577" s="148"/>
      <c r="E577" s="148"/>
    </row>
    <row r="578">
      <c r="B578" s="148"/>
      <c r="C578" s="148"/>
      <c r="D578" s="148"/>
      <c r="E578" s="148"/>
    </row>
    <row r="579">
      <c r="B579" s="148"/>
      <c r="C579" s="148"/>
      <c r="D579" s="148"/>
      <c r="E579" s="148"/>
    </row>
    <row r="580">
      <c r="B580" s="148"/>
      <c r="C580" s="148"/>
      <c r="D580" s="148"/>
      <c r="E580" s="148"/>
    </row>
    <row r="581">
      <c r="B581" s="148"/>
      <c r="C581" s="148"/>
      <c r="D581" s="148"/>
      <c r="E581" s="148"/>
    </row>
    <row r="582">
      <c r="B582" s="148"/>
      <c r="C582" s="148"/>
      <c r="D582" s="148"/>
      <c r="E582" s="148"/>
    </row>
    <row r="583">
      <c r="B583" s="148"/>
      <c r="C583" s="148"/>
      <c r="D583" s="148"/>
      <c r="E583" s="148"/>
    </row>
    <row r="584">
      <c r="B584" s="148"/>
      <c r="C584" s="148"/>
      <c r="D584" s="148"/>
      <c r="E584" s="148"/>
    </row>
    <row r="585">
      <c r="B585" s="148"/>
      <c r="C585" s="148"/>
      <c r="D585" s="148"/>
      <c r="E585" s="148"/>
    </row>
    <row r="586">
      <c r="B586" s="148"/>
      <c r="C586" s="148"/>
      <c r="D586" s="148"/>
      <c r="E586" s="148"/>
    </row>
    <row r="587">
      <c r="B587" s="148"/>
      <c r="C587" s="148"/>
      <c r="D587" s="148"/>
      <c r="E587" s="148"/>
    </row>
    <row r="588">
      <c r="B588" s="148"/>
      <c r="C588" s="148"/>
      <c r="D588" s="148"/>
      <c r="E588" s="148"/>
    </row>
    <row r="589">
      <c r="B589" s="148"/>
      <c r="C589" s="148"/>
      <c r="D589" s="148"/>
      <c r="E589" s="148"/>
    </row>
    <row r="590">
      <c r="B590" s="148"/>
      <c r="C590" s="148"/>
      <c r="D590" s="148"/>
      <c r="E590" s="148"/>
    </row>
    <row r="591">
      <c r="B591" s="148"/>
      <c r="C591" s="148"/>
      <c r="D591" s="148"/>
      <c r="E591" s="148"/>
    </row>
    <row r="592">
      <c r="B592" s="148"/>
      <c r="C592" s="148"/>
      <c r="D592" s="148"/>
      <c r="E592" s="148"/>
    </row>
    <row r="593">
      <c r="B593" s="148"/>
      <c r="C593" s="148"/>
      <c r="D593" s="148"/>
      <c r="E593" s="148"/>
    </row>
    <row r="594">
      <c r="B594" s="148"/>
      <c r="C594" s="148"/>
      <c r="D594" s="148"/>
      <c r="E594" s="148"/>
    </row>
    <row r="595">
      <c r="B595" s="148"/>
      <c r="C595" s="148"/>
      <c r="D595" s="148"/>
      <c r="E595" s="148"/>
    </row>
    <row r="596">
      <c r="B596" s="148"/>
      <c r="C596" s="148"/>
      <c r="D596" s="148"/>
      <c r="E596" s="148"/>
    </row>
    <row r="597">
      <c r="B597" s="148"/>
      <c r="C597" s="148"/>
      <c r="D597" s="148"/>
      <c r="E597" s="148"/>
    </row>
    <row r="598">
      <c r="B598" s="148"/>
      <c r="C598" s="148"/>
      <c r="D598" s="148"/>
      <c r="E598" s="148"/>
    </row>
    <row r="599">
      <c r="B599" s="148"/>
      <c r="C599" s="148"/>
      <c r="D599" s="148"/>
      <c r="E599" s="148"/>
    </row>
    <row r="600">
      <c r="B600" s="148"/>
      <c r="C600" s="148"/>
      <c r="D600" s="148"/>
      <c r="E600" s="148"/>
    </row>
    <row r="601">
      <c r="B601" s="148"/>
      <c r="C601" s="148"/>
      <c r="D601" s="148"/>
      <c r="E601" s="148"/>
    </row>
    <row r="602">
      <c r="B602" s="148"/>
      <c r="C602" s="148"/>
      <c r="D602" s="148"/>
      <c r="E602" s="148"/>
    </row>
    <row r="603">
      <c r="B603" s="148"/>
      <c r="C603" s="148"/>
      <c r="D603" s="148"/>
      <c r="E603" s="148"/>
    </row>
    <row r="604">
      <c r="B604" s="148"/>
      <c r="C604" s="148"/>
      <c r="D604" s="148"/>
      <c r="E604" s="148"/>
    </row>
    <row r="605">
      <c r="B605" s="148"/>
      <c r="C605" s="148"/>
      <c r="D605" s="148"/>
      <c r="E605" s="148"/>
    </row>
    <row r="606">
      <c r="B606" s="148"/>
      <c r="C606" s="148"/>
      <c r="D606" s="148"/>
      <c r="E606" s="148"/>
    </row>
    <row r="607">
      <c r="B607" s="148"/>
      <c r="C607" s="148"/>
      <c r="D607" s="148"/>
      <c r="E607" s="148"/>
    </row>
    <row r="608">
      <c r="B608" s="148"/>
      <c r="C608" s="148"/>
      <c r="D608" s="148"/>
      <c r="E608" s="148"/>
    </row>
    <row r="609">
      <c r="B609" s="148"/>
      <c r="C609" s="148"/>
      <c r="D609" s="148"/>
      <c r="E609" s="148"/>
    </row>
    <row r="610">
      <c r="B610" s="148"/>
      <c r="C610" s="148"/>
      <c r="D610" s="148"/>
      <c r="E610" s="148"/>
    </row>
    <row r="611">
      <c r="B611" s="148"/>
      <c r="C611" s="148"/>
      <c r="D611" s="148"/>
      <c r="E611" s="148"/>
    </row>
    <row r="612">
      <c r="B612" s="148"/>
      <c r="C612" s="148"/>
      <c r="D612" s="148"/>
      <c r="E612" s="148"/>
    </row>
    <row r="613">
      <c r="B613" s="148"/>
      <c r="C613" s="148"/>
      <c r="D613" s="148"/>
      <c r="E613" s="148"/>
    </row>
    <row r="614">
      <c r="B614" s="148"/>
      <c r="C614" s="148"/>
      <c r="D614" s="148"/>
      <c r="E614" s="148"/>
    </row>
    <row r="615">
      <c r="B615" s="148"/>
      <c r="C615" s="148"/>
      <c r="D615" s="148"/>
      <c r="E615" s="148"/>
    </row>
    <row r="616">
      <c r="B616" s="148"/>
      <c r="C616" s="148"/>
      <c r="D616" s="148"/>
      <c r="E616" s="148"/>
    </row>
    <row r="617">
      <c r="B617" s="148"/>
      <c r="C617" s="148"/>
      <c r="D617" s="148"/>
      <c r="E617" s="148"/>
    </row>
    <row r="618">
      <c r="B618" s="148"/>
      <c r="C618" s="148"/>
      <c r="D618" s="148"/>
      <c r="E618" s="148"/>
    </row>
    <row r="619">
      <c r="B619" s="148"/>
      <c r="C619" s="148"/>
      <c r="D619" s="148"/>
      <c r="E619" s="148"/>
    </row>
    <row r="620">
      <c r="B620" s="148"/>
      <c r="C620" s="148"/>
      <c r="D620" s="148"/>
      <c r="E620" s="148"/>
    </row>
    <row r="621">
      <c r="B621" s="148"/>
      <c r="C621" s="148"/>
      <c r="D621" s="148"/>
      <c r="E621" s="148"/>
    </row>
    <row r="622">
      <c r="B622" s="148"/>
      <c r="C622" s="148"/>
      <c r="D622" s="148"/>
      <c r="E622" s="148"/>
    </row>
    <row r="623">
      <c r="B623" s="148"/>
      <c r="C623" s="148"/>
      <c r="D623" s="148"/>
      <c r="E623" s="148"/>
    </row>
    <row r="624">
      <c r="B624" s="148"/>
      <c r="C624" s="148"/>
      <c r="D624" s="148"/>
      <c r="E624" s="148"/>
    </row>
    <row r="625">
      <c r="B625" s="148"/>
      <c r="C625" s="148"/>
      <c r="D625" s="148"/>
      <c r="E625" s="148"/>
    </row>
    <row r="626">
      <c r="B626" s="148"/>
      <c r="C626" s="148"/>
      <c r="D626" s="148"/>
      <c r="E626" s="148"/>
    </row>
    <row r="627">
      <c r="B627" s="148"/>
      <c r="C627" s="148"/>
      <c r="D627" s="148"/>
      <c r="E627" s="148"/>
    </row>
    <row r="628">
      <c r="B628" s="148"/>
      <c r="C628" s="148"/>
      <c r="D628" s="148"/>
      <c r="E628" s="148"/>
    </row>
    <row r="629">
      <c r="B629" s="148"/>
      <c r="C629" s="148"/>
      <c r="D629" s="148"/>
      <c r="E629" s="148"/>
    </row>
    <row r="630">
      <c r="B630" s="148"/>
      <c r="C630" s="148"/>
      <c r="D630" s="148"/>
      <c r="E630" s="148"/>
    </row>
    <row r="631">
      <c r="B631" s="148"/>
      <c r="C631" s="148"/>
      <c r="D631" s="148"/>
      <c r="E631" s="148"/>
    </row>
    <row r="632">
      <c r="B632" s="148"/>
      <c r="C632" s="148"/>
      <c r="D632" s="148"/>
      <c r="E632" s="148"/>
    </row>
    <row r="633">
      <c r="B633" s="148"/>
      <c r="C633" s="148"/>
      <c r="D633" s="148"/>
      <c r="E633" s="148"/>
    </row>
    <row r="634">
      <c r="B634" s="148"/>
      <c r="C634" s="148"/>
      <c r="D634" s="148"/>
      <c r="E634" s="148"/>
    </row>
    <row r="635">
      <c r="B635" s="148"/>
      <c r="C635" s="148"/>
      <c r="D635" s="148"/>
      <c r="E635" s="148"/>
    </row>
    <row r="636">
      <c r="B636" s="148"/>
      <c r="C636" s="148"/>
      <c r="D636" s="148"/>
      <c r="E636" s="148"/>
    </row>
    <row r="637">
      <c r="B637" s="148"/>
      <c r="C637" s="148"/>
      <c r="D637" s="148"/>
      <c r="E637" s="148"/>
    </row>
    <row r="638">
      <c r="B638" s="148"/>
      <c r="C638" s="148"/>
      <c r="D638" s="148"/>
      <c r="E638" s="148"/>
    </row>
    <row r="639">
      <c r="B639" s="148"/>
      <c r="C639" s="148"/>
      <c r="D639" s="148"/>
      <c r="E639" s="148"/>
    </row>
    <row r="640">
      <c r="B640" s="148"/>
      <c r="C640" s="148"/>
      <c r="D640" s="148"/>
      <c r="E640" s="148"/>
    </row>
    <row r="641">
      <c r="B641" s="148"/>
      <c r="C641" s="148"/>
      <c r="D641" s="148"/>
      <c r="E641" s="148"/>
    </row>
    <row r="642">
      <c r="B642" s="148"/>
      <c r="C642" s="148"/>
      <c r="D642" s="148"/>
      <c r="E642" s="148"/>
    </row>
    <row r="643">
      <c r="B643" s="148"/>
      <c r="C643" s="148"/>
      <c r="D643" s="148"/>
      <c r="E643" s="148"/>
    </row>
    <row r="644">
      <c r="B644" s="148"/>
      <c r="C644" s="148"/>
      <c r="D644" s="148"/>
      <c r="E644" s="148"/>
    </row>
    <row r="645">
      <c r="B645" s="148"/>
      <c r="C645" s="148"/>
      <c r="D645" s="148"/>
      <c r="E645" s="148"/>
    </row>
    <row r="646">
      <c r="B646" s="148"/>
      <c r="C646" s="148"/>
      <c r="D646" s="148"/>
      <c r="E646" s="148"/>
    </row>
    <row r="647">
      <c r="B647" s="148"/>
      <c r="C647" s="148"/>
      <c r="D647" s="148"/>
      <c r="E647" s="148"/>
    </row>
    <row r="648">
      <c r="B648" s="148"/>
      <c r="C648" s="148"/>
      <c r="D648" s="148"/>
      <c r="E648" s="148"/>
    </row>
    <row r="649">
      <c r="B649" s="148"/>
      <c r="C649" s="148"/>
      <c r="D649" s="148"/>
      <c r="E649" s="148"/>
    </row>
    <row r="650">
      <c r="B650" s="148"/>
      <c r="C650" s="148"/>
      <c r="D650" s="148"/>
      <c r="E650" s="148"/>
    </row>
    <row r="651">
      <c r="B651" s="148"/>
      <c r="C651" s="148"/>
      <c r="D651" s="148"/>
      <c r="E651" s="148"/>
    </row>
    <row r="652">
      <c r="B652" s="148"/>
      <c r="C652" s="148"/>
      <c r="D652" s="148"/>
      <c r="E652" s="148"/>
    </row>
    <row r="653">
      <c r="B653" s="148"/>
      <c r="C653" s="148"/>
      <c r="D653" s="148"/>
      <c r="E653" s="148"/>
    </row>
    <row r="654">
      <c r="B654" s="148"/>
      <c r="C654" s="148"/>
      <c r="D654" s="148"/>
      <c r="E654" s="148"/>
    </row>
    <row r="655">
      <c r="B655" s="148"/>
      <c r="C655" s="148"/>
      <c r="D655" s="148"/>
      <c r="E655" s="148"/>
    </row>
    <row r="656">
      <c r="B656" s="148"/>
      <c r="C656" s="148"/>
      <c r="D656" s="148"/>
      <c r="E656" s="148"/>
    </row>
    <row r="657">
      <c r="B657" s="148"/>
      <c r="C657" s="148"/>
      <c r="D657" s="148"/>
      <c r="E657" s="148"/>
    </row>
    <row r="658">
      <c r="B658" s="148"/>
      <c r="C658" s="148"/>
      <c r="D658" s="148"/>
      <c r="E658" s="148"/>
    </row>
    <row r="659">
      <c r="B659" s="148"/>
      <c r="C659" s="148"/>
      <c r="D659" s="148"/>
      <c r="E659" s="148"/>
    </row>
    <row r="660">
      <c r="B660" s="148"/>
      <c r="C660" s="148"/>
      <c r="D660" s="148"/>
      <c r="E660" s="148"/>
    </row>
    <row r="661">
      <c r="B661" s="148"/>
      <c r="C661" s="148"/>
      <c r="D661" s="148"/>
      <c r="E661" s="148"/>
    </row>
    <row r="662">
      <c r="B662" s="148"/>
      <c r="C662" s="148"/>
      <c r="D662" s="148"/>
      <c r="E662" s="148"/>
    </row>
    <row r="663">
      <c r="B663" s="148"/>
      <c r="C663" s="148"/>
      <c r="D663" s="148"/>
      <c r="E663" s="148"/>
    </row>
    <row r="664">
      <c r="B664" s="148"/>
      <c r="C664" s="148"/>
      <c r="D664" s="148"/>
      <c r="E664" s="148"/>
    </row>
    <row r="665">
      <c r="B665" s="148"/>
      <c r="C665" s="148"/>
      <c r="D665" s="148"/>
      <c r="E665" s="148"/>
    </row>
    <row r="666">
      <c r="B666" s="148"/>
      <c r="C666" s="148"/>
      <c r="D666" s="148"/>
      <c r="E666" s="148"/>
    </row>
    <row r="667">
      <c r="B667" s="148"/>
      <c r="C667" s="148"/>
      <c r="D667" s="148"/>
      <c r="E667" s="148"/>
    </row>
    <row r="668">
      <c r="B668" s="148"/>
      <c r="C668" s="148"/>
      <c r="D668" s="148"/>
      <c r="E668" s="148"/>
    </row>
    <row r="669">
      <c r="B669" s="148"/>
      <c r="C669" s="148"/>
      <c r="D669" s="148"/>
      <c r="E669" s="148"/>
    </row>
    <row r="670">
      <c r="B670" s="148"/>
      <c r="C670" s="148"/>
      <c r="D670" s="148"/>
      <c r="E670" s="148"/>
    </row>
    <row r="671">
      <c r="B671" s="148"/>
      <c r="C671" s="148"/>
      <c r="D671" s="148"/>
      <c r="E671" s="148"/>
    </row>
    <row r="672">
      <c r="B672" s="148"/>
      <c r="C672" s="148"/>
      <c r="D672" s="148"/>
      <c r="E672" s="148"/>
    </row>
    <row r="673">
      <c r="B673" s="148"/>
      <c r="C673" s="148"/>
      <c r="D673" s="148"/>
      <c r="E673" s="148"/>
    </row>
    <row r="674">
      <c r="B674" s="148"/>
      <c r="C674" s="148"/>
      <c r="D674" s="148"/>
      <c r="E674" s="148"/>
    </row>
    <row r="675">
      <c r="B675" s="148"/>
      <c r="C675" s="148"/>
      <c r="D675" s="148"/>
      <c r="E675" s="148"/>
    </row>
    <row r="676">
      <c r="B676" s="148"/>
      <c r="C676" s="148"/>
      <c r="D676" s="148"/>
      <c r="E676" s="148"/>
    </row>
    <row r="677">
      <c r="B677" s="148"/>
      <c r="C677" s="148"/>
      <c r="D677" s="148"/>
      <c r="E677" s="148"/>
    </row>
    <row r="678">
      <c r="B678" s="148"/>
      <c r="C678" s="148"/>
      <c r="D678" s="148"/>
      <c r="E678" s="148"/>
    </row>
    <row r="679">
      <c r="B679" s="148"/>
      <c r="C679" s="148"/>
      <c r="D679" s="148"/>
      <c r="E679" s="148"/>
    </row>
    <row r="680">
      <c r="B680" s="148"/>
      <c r="C680" s="148"/>
      <c r="D680" s="148"/>
      <c r="E680" s="148"/>
    </row>
    <row r="681">
      <c r="B681" s="148"/>
      <c r="C681" s="148"/>
      <c r="D681" s="148"/>
      <c r="E681" s="148"/>
    </row>
    <row r="682">
      <c r="B682" s="148"/>
      <c r="C682" s="148"/>
      <c r="D682" s="148"/>
      <c r="E682" s="148"/>
    </row>
    <row r="683">
      <c r="B683" s="148"/>
      <c r="C683" s="148"/>
      <c r="D683" s="148"/>
      <c r="E683" s="148"/>
    </row>
    <row r="684">
      <c r="B684" s="148"/>
      <c r="C684" s="148"/>
      <c r="D684" s="148"/>
      <c r="E684" s="148"/>
    </row>
    <row r="685">
      <c r="B685" s="148"/>
      <c r="C685" s="148"/>
      <c r="D685" s="148"/>
      <c r="E685" s="148"/>
    </row>
    <row r="686">
      <c r="B686" s="148"/>
      <c r="C686" s="148"/>
      <c r="D686" s="148"/>
      <c r="E686" s="148"/>
    </row>
    <row r="687">
      <c r="B687" s="148"/>
      <c r="C687" s="148"/>
      <c r="D687" s="148"/>
      <c r="E687" s="148"/>
    </row>
    <row r="688">
      <c r="B688" s="148"/>
      <c r="C688" s="148"/>
      <c r="D688" s="148"/>
      <c r="E688" s="148"/>
    </row>
    <row r="689">
      <c r="B689" s="148"/>
      <c r="C689" s="148"/>
      <c r="D689" s="148"/>
      <c r="E689" s="148"/>
    </row>
    <row r="690">
      <c r="B690" s="148"/>
      <c r="C690" s="148"/>
      <c r="D690" s="148"/>
      <c r="E690" s="148"/>
    </row>
    <row r="691">
      <c r="B691" s="148"/>
      <c r="C691" s="148"/>
      <c r="D691" s="148"/>
      <c r="E691" s="148"/>
    </row>
    <row r="692">
      <c r="B692" s="148"/>
      <c r="C692" s="148"/>
      <c r="D692" s="148"/>
      <c r="E692" s="148"/>
    </row>
    <row r="693">
      <c r="B693" s="148"/>
      <c r="C693" s="148"/>
      <c r="D693" s="148"/>
      <c r="E693" s="148"/>
    </row>
    <row r="694">
      <c r="B694" s="148"/>
      <c r="C694" s="148"/>
      <c r="D694" s="148"/>
      <c r="E694" s="148"/>
    </row>
    <row r="695">
      <c r="B695" s="148"/>
      <c r="C695" s="148"/>
      <c r="D695" s="148"/>
      <c r="E695" s="148"/>
    </row>
    <row r="696">
      <c r="B696" s="148"/>
      <c r="C696" s="148"/>
      <c r="D696" s="148"/>
      <c r="E696" s="148"/>
    </row>
    <row r="697">
      <c r="B697" s="148"/>
      <c r="C697" s="148"/>
      <c r="D697" s="148"/>
      <c r="E697" s="148"/>
    </row>
    <row r="698">
      <c r="B698" s="148"/>
      <c r="C698" s="148"/>
      <c r="D698" s="148"/>
      <c r="E698" s="148"/>
    </row>
    <row r="699">
      <c r="B699" s="148"/>
      <c r="C699" s="148"/>
      <c r="D699" s="148"/>
      <c r="E699" s="148"/>
    </row>
    <row r="700">
      <c r="B700" s="148"/>
      <c r="C700" s="148"/>
      <c r="D700" s="148"/>
      <c r="E700" s="148"/>
    </row>
    <row r="701">
      <c r="B701" s="148"/>
      <c r="C701" s="148"/>
      <c r="D701" s="148"/>
      <c r="E701" s="148"/>
    </row>
    <row r="702">
      <c r="B702" s="148"/>
      <c r="C702" s="148"/>
      <c r="D702" s="148"/>
      <c r="E702" s="148"/>
    </row>
    <row r="703">
      <c r="B703" s="148"/>
      <c r="C703" s="148"/>
      <c r="D703" s="148"/>
      <c r="E703" s="148"/>
    </row>
    <row r="704">
      <c r="B704" s="148"/>
      <c r="C704" s="148"/>
      <c r="D704" s="148"/>
      <c r="E704" s="148"/>
    </row>
    <row r="705">
      <c r="B705" s="148"/>
      <c r="C705" s="148"/>
      <c r="D705" s="148"/>
      <c r="E705" s="148"/>
    </row>
    <row r="706">
      <c r="B706" s="148"/>
      <c r="C706" s="148"/>
      <c r="D706" s="148"/>
      <c r="E706" s="148"/>
    </row>
    <row r="707">
      <c r="B707" s="148"/>
      <c r="C707" s="148"/>
      <c r="D707" s="148"/>
      <c r="E707" s="148"/>
    </row>
    <row r="708">
      <c r="B708" s="148"/>
      <c r="C708" s="148"/>
      <c r="D708" s="148"/>
      <c r="E708" s="148"/>
    </row>
    <row r="709">
      <c r="B709" s="148"/>
      <c r="C709" s="148"/>
      <c r="D709" s="148"/>
      <c r="E709" s="148"/>
    </row>
    <row r="710">
      <c r="B710" s="148"/>
      <c r="C710" s="148"/>
      <c r="D710" s="148"/>
      <c r="E710" s="148"/>
    </row>
    <row r="711">
      <c r="B711" s="148"/>
      <c r="C711" s="148"/>
      <c r="D711" s="148"/>
      <c r="E711" s="148"/>
    </row>
    <row r="712">
      <c r="B712" s="148"/>
      <c r="C712" s="148"/>
      <c r="D712" s="148"/>
      <c r="E712" s="148"/>
    </row>
    <row r="713">
      <c r="B713" s="148"/>
      <c r="C713" s="148"/>
      <c r="D713" s="148"/>
      <c r="E713" s="148"/>
    </row>
    <row r="714">
      <c r="B714" s="148"/>
      <c r="C714" s="148"/>
      <c r="D714" s="148"/>
      <c r="E714" s="148"/>
    </row>
    <row r="715">
      <c r="B715" s="148"/>
      <c r="C715" s="148"/>
      <c r="D715" s="148"/>
      <c r="E715" s="148"/>
    </row>
    <row r="716">
      <c r="B716" s="148"/>
      <c r="C716" s="148"/>
      <c r="D716" s="148"/>
      <c r="E716" s="148"/>
    </row>
    <row r="717">
      <c r="B717" s="148"/>
      <c r="C717" s="148"/>
      <c r="D717" s="148"/>
      <c r="E717" s="148"/>
    </row>
    <row r="718">
      <c r="B718" s="148"/>
      <c r="C718" s="148"/>
      <c r="D718" s="148"/>
      <c r="E718" s="148"/>
    </row>
    <row r="719">
      <c r="B719" s="148"/>
      <c r="C719" s="148"/>
      <c r="D719" s="148"/>
      <c r="E719" s="148"/>
    </row>
    <row r="720">
      <c r="B720" s="148"/>
      <c r="C720" s="148"/>
      <c r="D720" s="148"/>
      <c r="E720" s="148"/>
    </row>
    <row r="721">
      <c r="B721" s="148"/>
      <c r="C721" s="148"/>
      <c r="D721" s="148"/>
      <c r="E721" s="148"/>
    </row>
    <row r="722">
      <c r="B722" s="148"/>
      <c r="C722" s="148"/>
      <c r="D722" s="148"/>
      <c r="E722" s="148"/>
    </row>
    <row r="723">
      <c r="B723" s="148"/>
      <c r="C723" s="148"/>
      <c r="D723" s="148"/>
      <c r="E723" s="148"/>
    </row>
    <row r="724">
      <c r="B724" s="148"/>
      <c r="C724" s="148"/>
      <c r="D724" s="148"/>
      <c r="E724" s="148"/>
    </row>
    <row r="725">
      <c r="B725" s="148"/>
      <c r="C725" s="148"/>
      <c r="D725" s="148"/>
      <c r="E725" s="148"/>
    </row>
    <row r="726">
      <c r="B726" s="148"/>
      <c r="C726" s="148"/>
      <c r="D726" s="148"/>
      <c r="E726" s="148"/>
    </row>
    <row r="727">
      <c r="B727" s="148"/>
      <c r="C727" s="148"/>
      <c r="D727" s="148"/>
      <c r="E727" s="148"/>
    </row>
    <row r="728">
      <c r="B728" s="148"/>
      <c r="C728" s="148"/>
      <c r="D728" s="148"/>
      <c r="E728" s="148"/>
    </row>
    <row r="729">
      <c r="B729" s="148"/>
      <c r="C729" s="148"/>
      <c r="D729" s="148"/>
      <c r="E729" s="148"/>
    </row>
    <row r="730">
      <c r="B730" s="148"/>
      <c r="C730" s="148"/>
      <c r="D730" s="148"/>
      <c r="E730" s="148"/>
    </row>
    <row r="731">
      <c r="B731" s="148"/>
      <c r="C731" s="148"/>
      <c r="D731" s="148"/>
      <c r="E731" s="148"/>
    </row>
    <row r="732">
      <c r="B732" s="148"/>
      <c r="C732" s="148"/>
      <c r="D732" s="148"/>
      <c r="E732" s="148"/>
    </row>
    <row r="733">
      <c r="B733" s="148"/>
      <c r="C733" s="148"/>
      <c r="D733" s="148"/>
      <c r="E733" s="148"/>
    </row>
    <row r="734">
      <c r="B734" s="148"/>
      <c r="C734" s="148"/>
      <c r="D734" s="148"/>
      <c r="E734" s="148"/>
    </row>
    <row r="735">
      <c r="B735" s="148"/>
      <c r="C735" s="148"/>
      <c r="D735" s="148"/>
      <c r="E735" s="148"/>
    </row>
    <row r="736">
      <c r="B736" s="148"/>
      <c r="C736" s="148"/>
      <c r="D736" s="148"/>
      <c r="E736" s="148"/>
    </row>
    <row r="737">
      <c r="B737" s="148"/>
      <c r="C737" s="148"/>
      <c r="D737" s="148"/>
      <c r="E737" s="148"/>
    </row>
    <row r="738">
      <c r="B738" s="148"/>
      <c r="C738" s="148"/>
      <c r="D738" s="148"/>
      <c r="E738" s="148"/>
    </row>
    <row r="739">
      <c r="B739" s="148"/>
      <c r="C739" s="148"/>
      <c r="D739" s="148"/>
      <c r="E739" s="148"/>
    </row>
    <row r="740">
      <c r="B740" s="148"/>
      <c r="C740" s="148"/>
      <c r="D740" s="148"/>
      <c r="E740" s="148"/>
    </row>
    <row r="741">
      <c r="B741" s="148"/>
      <c r="C741" s="148"/>
      <c r="D741" s="148"/>
      <c r="E741" s="148"/>
    </row>
    <row r="742">
      <c r="B742" s="148"/>
      <c r="C742" s="148"/>
      <c r="D742" s="148"/>
      <c r="E742" s="148"/>
    </row>
    <row r="743">
      <c r="B743" s="148"/>
      <c r="C743" s="148"/>
      <c r="D743" s="148"/>
      <c r="E743" s="148"/>
    </row>
    <row r="744">
      <c r="B744" s="148"/>
      <c r="C744" s="148"/>
      <c r="D744" s="148"/>
      <c r="E744" s="148"/>
    </row>
    <row r="745">
      <c r="B745" s="148"/>
      <c r="C745" s="148"/>
      <c r="D745" s="148"/>
      <c r="E745" s="148"/>
    </row>
    <row r="746">
      <c r="B746" s="148"/>
      <c r="C746" s="148"/>
      <c r="D746" s="148"/>
      <c r="E746" s="148"/>
    </row>
    <row r="747">
      <c r="B747" s="148"/>
      <c r="C747" s="148"/>
      <c r="D747" s="148"/>
      <c r="E747" s="148"/>
    </row>
    <row r="748">
      <c r="B748" s="148"/>
      <c r="C748" s="148"/>
      <c r="D748" s="148"/>
      <c r="E748" s="148"/>
    </row>
    <row r="749">
      <c r="B749" s="148"/>
      <c r="C749" s="148"/>
      <c r="D749" s="148"/>
      <c r="E749" s="148"/>
    </row>
    <row r="750">
      <c r="B750" s="148"/>
      <c r="C750" s="148"/>
      <c r="D750" s="148"/>
      <c r="E750" s="148"/>
    </row>
    <row r="751">
      <c r="B751" s="148"/>
      <c r="C751" s="148"/>
      <c r="D751" s="148"/>
      <c r="E751" s="148"/>
    </row>
    <row r="752">
      <c r="B752" s="148"/>
      <c r="C752" s="148"/>
      <c r="D752" s="148"/>
      <c r="E752" s="148"/>
    </row>
    <row r="753">
      <c r="B753" s="148"/>
      <c r="C753" s="148"/>
      <c r="D753" s="148"/>
      <c r="E753" s="148"/>
    </row>
    <row r="754">
      <c r="B754" s="148"/>
      <c r="C754" s="148"/>
      <c r="D754" s="148"/>
      <c r="E754" s="148"/>
    </row>
    <row r="755">
      <c r="B755" s="148"/>
      <c r="C755" s="148"/>
      <c r="D755" s="148"/>
      <c r="E755" s="148"/>
    </row>
    <row r="756">
      <c r="B756" s="148"/>
      <c r="C756" s="148"/>
      <c r="D756" s="148"/>
      <c r="E756" s="148"/>
    </row>
    <row r="757">
      <c r="B757" s="148"/>
      <c r="C757" s="148"/>
      <c r="D757" s="148"/>
      <c r="E757" s="148"/>
    </row>
    <row r="758">
      <c r="B758" s="148"/>
      <c r="C758" s="148"/>
      <c r="D758" s="148"/>
      <c r="E758" s="148"/>
    </row>
    <row r="759">
      <c r="B759" s="148"/>
      <c r="C759" s="148"/>
      <c r="D759" s="148"/>
      <c r="E759" s="148"/>
    </row>
    <row r="760">
      <c r="B760" s="148"/>
      <c r="C760" s="148"/>
      <c r="D760" s="148"/>
      <c r="E760" s="148"/>
    </row>
    <row r="761">
      <c r="B761" s="148"/>
      <c r="C761" s="148"/>
      <c r="D761" s="148"/>
      <c r="E761" s="148"/>
    </row>
    <row r="762">
      <c r="B762" s="148"/>
      <c r="C762" s="148"/>
      <c r="D762" s="148"/>
      <c r="E762" s="148"/>
    </row>
    <row r="763">
      <c r="B763" s="148"/>
      <c r="C763" s="148"/>
      <c r="D763" s="148"/>
      <c r="E763" s="148"/>
    </row>
    <row r="764">
      <c r="B764" s="148"/>
      <c r="C764" s="148"/>
      <c r="D764" s="148"/>
      <c r="E764" s="148"/>
    </row>
    <row r="765">
      <c r="B765" s="148"/>
      <c r="C765" s="148"/>
      <c r="D765" s="148"/>
      <c r="E765" s="148"/>
    </row>
    <row r="766">
      <c r="B766" s="148"/>
      <c r="C766" s="148"/>
      <c r="D766" s="148"/>
      <c r="E766" s="148"/>
    </row>
    <row r="767">
      <c r="B767" s="148"/>
      <c r="C767" s="148"/>
      <c r="D767" s="148"/>
      <c r="E767" s="148"/>
    </row>
    <row r="768">
      <c r="B768" s="148"/>
      <c r="C768" s="148"/>
      <c r="D768" s="148"/>
      <c r="E768" s="148"/>
    </row>
    <row r="769">
      <c r="B769" s="148"/>
      <c r="C769" s="148"/>
      <c r="D769" s="148"/>
      <c r="E769" s="148"/>
    </row>
    <row r="770">
      <c r="B770" s="148"/>
      <c r="C770" s="148"/>
      <c r="D770" s="148"/>
      <c r="E770" s="148"/>
    </row>
    <row r="771">
      <c r="B771" s="148"/>
      <c r="C771" s="148"/>
      <c r="D771" s="148"/>
      <c r="E771" s="148"/>
    </row>
    <row r="772">
      <c r="B772" s="148"/>
      <c r="C772" s="148"/>
      <c r="D772" s="148"/>
      <c r="E772" s="148"/>
    </row>
    <row r="773">
      <c r="B773" s="148"/>
      <c r="C773" s="148"/>
      <c r="D773" s="148"/>
      <c r="E773" s="148"/>
    </row>
    <row r="774">
      <c r="B774" s="148"/>
      <c r="C774" s="148"/>
      <c r="D774" s="148"/>
      <c r="E774" s="148"/>
    </row>
    <row r="775">
      <c r="B775" s="148"/>
      <c r="C775" s="148"/>
      <c r="D775" s="148"/>
      <c r="E775" s="148"/>
    </row>
    <row r="776">
      <c r="B776" s="148"/>
      <c r="C776" s="148"/>
      <c r="D776" s="148"/>
      <c r="E776" s="148"/>
    </row>
    <row r="777">
      <c r="B777" s="148"/>
      <c r="C777" s="148"/>
      <c r="D777" s="148"/>
      <c r="E777" s="148"/>
    </row>
    <row r="778">
      <c r="B778" s="148"/>
      <c r="C778" s="148"/>
      <c r="D778" s="148"/>
      <c r="E778" s="148"/>
    </row>
    <row r="779">
      <c r="B779" s="148"/>
      <c r="C779" s="148"/>
      <c r="D779" s="148"/>
      <c r="E779" s="148"/>
    </row>
    <row r="780">
      <c r="B780" s="148"/>
      <c r="C780" s="148"/>
      <c r="D780" s="148"/>
      <c r="E780" s="148"/>
    </row>
    <row r="781">
      <c r="B781" s="148"/>
      <c r="C781" s="148"/>
      <c r="D781" s="148"/>
      <c r="E781" s="148"/>
    </row>
    <row r="782">
      <c r="B782" s="148"/>
      <c r="C782" s="148"/>
      <c r="D782" s="148"/>
      <c r="E782" s="148"/>
    </row>
    <row r="783">
      <c r="B783" s="148"/>
      <c r="C783" s="148"/>
      <c r="D783" s="148"/>
      <c r="E783" s="148"/>
    </row>
    <row r="784">
      <c r="B784" s="148"/>
      <c r="C784" s="148"/>
      <c r="D784" s="148"/>
      <c r="E784" s="148"/>
    </row>
    <row r="785">
      <c r="B785" s="148"/>
      <c r="C785" s="148"/>
      <c r="D785" s="148"/>
      <c r="E785" s="148"/>
    </row>
    <row r="786">
      <c r="B786" s="148"/>
      <c r="C786" s="148"/>
      <c r="D786" s="148"/>
      <c r="E786" s="148"/>
    </row>
    <row r="787">
      <c r="B787" s="148"/>
      <c r="C787" s="148"/>
      <c r="D787" s="148"/>
      <c r="E787" s="148"/>
    </row>
    <row r="788">
      <c r="B788" s="148"/>
      <c r="C788" s="148"/>
      <c r="D788" s="148"/>
      <c r="E788" s="148"/>
    </row>
    <row r="789">
      <c r="B789" s="148"/>
      <c r="C789" s="148"/>
      <c r="D789" s="148"/>
      <c r="E789" s="148"/>
    </row>
    <row r="790">
      <c r="B790" s="148"/>
      <c r="C790" s="148"/>
      <c r="D790" s="148"/>
      <c r="E790" s="148"/>
    </row>
    <row r="791">
      <c r="B791" s="148"/>
      <c r="C791" s="148"/>
      <c r="D791" s="148"/>
      <c r="E791" s="148"/>
    </row>
    <row r="792">
      <c r="B792" s="148"/>
      <c r="C792" s="148"/>
      <c r="D792" s="148"/>
      <c r="E792" s="148"/>
    </row>
    <row r="793">
      <c r="B793" s="148"/>
      <c r="C793" s="148"/>
      <c r="D793" s="148"/>
      <c r="E793" s="148"/>
    </row>
    <row r="794">
      <c r="B794" s="148"/>
      <c r="C794" s="148"/>
      <c r="D794" s="148"/>
      <c r="E794" s="148"/>
    </row>
    <row r="795">
      <c r="B795" s="148"/>
      <c r="C795" s="148"/>
      <c r="D795" s="148"/>
      <c r="E795" s="148"/>
    </row>
    <row r="796">
      <c r="B796" s="148"/>
      <c r="C796" s="148"/>
      <c r="D796" s="148"/>
      <c r="E796" s="148"/>
    </row>
    <row r="797">
      <c r="B797" s="148"/>
      <c r="C797" s="148"/>
      <c r="D797" s="148"/>
      <c r="E797" s="148"/>
    </row>
    <row r="798">
      <c r="B798" s="148"/>
      <c r="C798" s="148"/>
      <c r="D798" s="148"/>
      <c r="E798" s="148"/>
    </row>
    <row r="799">
      <c r="B799" s="148"/>
      <c r="C799" s="148"/>
      <c r="D799" s="148"/>
      <c r="E799" s="148"/>
    </row>
    <row r="800">
      <c r="B800" s="148"/>
      <c r="C800" s="148"/>
      <c r="D800" s="148"/>
      <c r="E800" s="148"/>
    </row>
    <row r="801">
      <c r="B801" s="148"/>
      <c r="C801" s="148"/>
      <c r="D801" s="148"/>
      <c r="E801" s="148"/>
    </row>
    <row r="802">
      <c r="B802" s="148"/>
      <c r="C802" s="148"/>
      <c r="D802" s="148"/>
      <c r="E802" s="148"/>
    </row>
    <row r="803">
      <c r="B803" s="148"/>
      <c r="C803" s="148"/>
      <c r="D803" s="148"/>
      <c r="E803" s="148"/>
    </row>
    <row r="804">
      <c r="B804" s="148"/>
      <c r="C804" s="148"/>
      <c r="D804" s="148"/>
      <c r="E804" s="148"/>
    </row>
    <row r="805">
      <c r="B805" s="148"/>
      <c r="C805" s="148"/>
      <c r="D805" s="148"/>
      <c r="E805" s="148"/>
    </row>
    <row r="806">
      <c r="B806" s="148"/>
      <c r="C806" s="148"/>
      <c r="D806" s="148"/>
      <c r="E806" s="148"/>
    </row>
    <row r="807">
      <c r="B807" s="148"/>
      <c r="C807" s="148"/>
      <c r="D807" s="148"/>
      <c r="E807" s="148"/>
    </row>
    <row r="808">
      <c r="B808" s="148"/>
      <c r="C808" s="148"/>
      <c r="D808" s="148"/>
      <c r="E808" s="148"/>
    </row>
    <row r="809">
      <c r="B809" s="148"/>
      <c r="C809" s="148"/>
      <c r="D809" s="148"/>
      <c r="E809" s="148"/>
    </row>
    <row r="810">
      <c r="B810" s="148"/>
      <c r="C810" s="148"/>
      <c r="D810" s="148"/>
      <c r="E810" s="148"/>
    </row>
    <row r="811">
      <c r="B811" s="148"/>
      <c r="C811" s="148"/>
      <c r="D811" s="148"/>
      <c r="E811" s="148"/>
    </row>
    <row r="812">
      <c r="B812" s="148"/>
      <c r="C812" s="148"/>
      <c r="D812" s="148"/>
      <c r="E812" s="148"/>
    </row>
    <row r="813">
      <c r="B813" s="148"/>
      <c r="C813" s="148"/>
      <c r="D813" s="148"/>
      <c r="E813" s="148"/>
    </row>
    <row r="814">
      <c r="B814" s="148"/>
      <c r="C814" s="148"/>
      <c r="D814" s="148"/>
      <c r="E814" s="148"/>
    </row>
    <row r="815">
      <c r="B815" s="148"/>
      <c r="C815" s="148"/>
      <c r="D815" s="148"/>
      <c r="E815" s="148"/>
    </row>
    <row r="816">
      <c r="B816" s="148"/>
      <c r="C816" s="148"/>
      <c r="D816" s="148"/>
      <c r="E816" s="148"/>
    </row>
    <row r="817">
      <c r="B817" s="148"/>
      <c r="C817" s="148"/>
      <c r="D817" s="148"/>
      <c r="E817" s="148"/>
    </row>
    <row r="818">
      <c r="B818" s="148"/>
      <c r="C818" s="148"/>
      <c r="D818" s="148"/>
      <c r="E818" s="148"/>
    </row>
    <row r="819">
      <c r="B819" s="148"/>
      <c r="C819" s="148"/>
      <c r="D819" s="148"/>
      <c r="E819" s="148"/>
    </row>
    <row r="820">
      <c r="B820" s="148"/>
      <c r="C820" s="148"/>
      <c r="D820" s="148"/>
      <c r="E820" s="148"/>
    </row>
    <row r="821">
      <c r="B821" s="148"/>
      <c r="C821" s="148"/>
      <c r="D821" s="148"/>
      <c r="E821" s="148"/>
    </row>
    <row r="822">
      <c r="B822" s="148"/>
      <c r="C822" s="148"/>
      <c r="D822" s="148"/>
      <c r="E822" s="148"/>
    </row>
    <row r="823">
      <c r="B823" s="148"/>
      <c r="C823" s="148"/>
      <c r="D823" s="148"/>
      <c r="E823" s="148"/>
    </row>
    <row r="824">
      <c r="B824" s="148"/>
      <c r="C824" s="148"/>
      <c r="D824" s="148"/>
      <c r="E824" s="148"/>
    </row>
    <row r="825">
      <c r="B825" s="148"/>
      <c r="C825" s="148"/>
      <c r="D825" s="148"/>
      <c r="E825" s="148"/>
    </row>
    <row r="826">
      <c r="B826" s="148"/>
      <c r="C826" s="148"/>
      <c r="D826" s="148"/>
      <c r="E826" s="148"/>
    </row>
    <row r="827">
      <c r="B827" s="148"/>
      <c r="C827" s="148"/>
      <c r="D827" s="148"/>
      <c r="E827" s="148"/>
    </row>
    <row r="828">
      <c r="B828" s="148"/>
      <c r="C828" s="148"/>
      <c r="D828" s="148"/>
      <c r="E828" s="148"/>
    </row>
    <row r="829">
      <c r="B829" s="148"/>
      <c r="C829" s="148"/>
      <c r="D829" s="148"/>
      <c r="E829" s="148"/>
    </row>
    <row r="830">
      <c r="B830" s="148"/>
      <c r="C830" s="148"/>
      <c r="D830" s="148"/>
      <c r="E830" s="148"/>
    </row>
    <row r="831">
      <c r="B831" s="148"/>
      <c r="C831" s="148"/>
      <c r="D831" s="148"/>
      <c r="E831" s="148"/>
    </row>
    <row r="832">
      <c r="B832" s="148"/>
      <c r="C832" s="148"/>
      <c r="D832" s="148"/>
      <c r="E832" s="148"/>
    </row>
    <row r="833">
      <c r="B833" s="148"/>
      <c r="C833" s="148"/>
      <c r="D833" s="148"/>
      <c r="E833" s="148"/>
    </row>
    <row r="834">
      <c r="B834" s="148"/>
      <c r="C834" s="148"/>
      <c r="D834" s="148"/>
      <c r="E834" s="148"/>
    </row>
    <row r="835">
      <c r="B835" s="148"/>
      <c r="C835" s="148"/>
      <c r="D835" s="148"/>
      <c r="E835" s="148"/>
    </row>
    <row r="836">
      <c r="B836" s="148"/>
      <c r="C836" s="148"/>
      <c r="D836" s="148"/>
      <c r="E836" s="148"/>
    </row>
    <row r="837">
      <c r="B837" s="148"/>
      <c r="C837" s="148"/>
      <c r="D837" s="148"/>
      <c r="E837" s="148"/>
    </row>
    <row r="838">
      <c r="B838" s="148"/>
      <c r="C838" s="148"/>
      <c r="D838" s="148"/>
      <c r="E838" s="148"/>
    </row>
    <row r="839">
      <c r="B839" s="148"/>
      <c r="C839" s="148"/>
      <c r="D839" s="148"/>
      <c r="E839" s="148"/>
    </row>
    <row r="840">
      <c r="B840" s="148"/>
      <c r="C840" s="148"/>
      <c r="D840" s="148"/>
      <c r="E840" s="148"/>
    </row>
    <row r="841">
      <c r="B841" s="148"/>
      <c r="C841" s="148"/>
      <c r="D841" s="148"/>
      <c r="E841" s="148"/>
    </row>
    <row r="842">
      <c r="B842" s="148"/>
      <c r="C842" s="148"/>
      <c r="D842" s="148"/>
      <c r="E842" s="148"/>
    </row>
    <row r="843">
      <c r="B843" s="148"/>
      <c r="C843" s="148"/>
      <c r="D843" s="148"/>
      <c r="E843" s="148"/>
    </row>
    <row r="844">
      <c r="B844" s="148"/>
      <c r="C844" s="148"/>
      <c r="D844" s="148"/>
      <c r="E844" s="148"/>
    </row>
    <row r="845">
      <c r="B845" s="148"/>
      <c r="C845" s="148"/>
      <c r="D845" s="148"/>
      <c r="E845" s="148"/>
    </row>
    <row r="846">
      <c r="B846" s="148"/>
      <c r="C846" s="148"/>
      <c r="D846" s="148"/>
      <c r="E846" s="148"/>
    </row>
    <row r="847">
      <c r="B847" s="148"/>
      <c r="C847" s="148"/>
      <c r="D847" s="148"/>
      <c r="E847" s="148"/>
    </row>
    <row r="848">
      <c r="B848" s="148"/>
      <c r="C848" s="148"/>
      <c r="D848" s="148"/>
      <c r="E848" s="148"/>
    </row>
    <row r="849">
      <c r="B849" s="148"/>
      <c r="C849" s="148"/>
      <c r="D849" s="148"/>
      <c r="E849" s="148"/>
    </row>
    <row r="850">
      <c r="B850" s="148"/>
      <c r="C850" s="148"/>
      <c r="D850" s="148"/>
      <c r="E850" s="148"/>
    </row>
    <row r="851">
      <c r="B851" s="148"/>
      <c r="C851" s="148"/>
      <c r="D851" s="148"/>
      <c r="E851" s="148"/>
    </row>
    <row r="852">
      <c r="B852" s="148"/>
      <c r="C852" s="148"/>
      <c r="D852" s="148"/>
      <c r="E852" s="148"/>
    </row>
    <row r="853">
      <c r="B853" s="148"/>
      <c r="C853" s="148"/>
      <c r="D853" s="148"/>
      <c r="E853" s="148"/>
    </row>
    <row r="854">
      <c r="B854" s="148"/>
      <c r="C854" s="148"/>
      <c r="D854" s="148"/>
      <c r="E854" s="148"/>
    </row>
    <row r="855">
      <c r="B855" s="148"/>
      <c r="C855" s="148"/>
      <c r="D855" s="148"/>
      <c r="E855" s="148"/>
    </row>
    <row r="856">
      <c r="B856" s="148"/>
      <c r="C856" s="148"/>
      <c r="D856" s="148"/>
      <c r="E856" s="148"/>
    </row>
    <row r="857">
      <c r="B857" s="148"/>
      <c r="C857" s="148"/>
      <c r="D857" s="148"/>
      <c r="E857" s="148"/>
    </row>
    <row r="858">
      <c r="B858" s="148"/>
      <c r="C858" s="148"/>
      <c r="D858" s="148"/>
      <c r="E858" s="148"/>
    </row>
    <row r="859">
      <c r="B859" s="148"/>
      <c r="C859" s="148"/>
      <c r="D859" s="148"/>
      <c r="E859" s="148"/>
    </row>
    <row r="860">
      <c r="B860" s="148"/>
      <c r="C860" s="148"/>
      <c r="D860" s="148"/>
      <c r="E860" s="148"/>
    </row>
    <row r="861">
      <c r="B861" s="148"/>
      <c r="C861" s="148"/>
      <c r="D861" s="148"/>
      <c r="E861" s="148"/>
    </row>
    <row r="862">
      <c r="B862" s="148"/>
      <c r="C862" s="148"/>
      <c r="D862" s="148"/>
      <c r="E862" s="148"/>
    </row>
    <row r="863">
      <c r="B863" s="148"/>
      <c r="C863" s="148"/>
      <c r="D863" s="148"/>
      <c r="E863" s="148"/>
    </row>
    <row r="864">
      <c r="B864" s="148"/>
      <c r="C864" s="148"/>
      <c r="D864" s="148"/>
      <c r="E864" s="148"/>
    </row>
    <row r="865">
      <c r="B865" s="148"/>
      <c r="C865" s="148"/>
      <c r="D865" s="148"/>
      <c r="E865" s="148"/>
    </row>
    <row r="866">
      <c r="B866" s="148"/>
      <c r="C866" s="148"/>
      <c r="D866" s="148"/>
      <c r="E866" s="148"/>
    </row>
    <row r="867">
      <c r="B867" s="148"/>
      <c r="C867" s="148"/>
      <c r="D867" s="148"/>
      <c r="E867" s="148"/>
    </row>
    <row r="868">
      <c r="B868" s="148"/>
      <c r="C868" s="148"/>
      <c r="D868" s="148"/>
      <c r="E868" s="148"/>
    </row>
    <row r="869">
      <c r="B869" s="148"/>
      <c r="C869" s="148"/>
      <c r="D869" s="148"/>
      <c r="E869" s="148"/>
    </row>
    <row r="870">
      <c r="B870" s="148"/>
      <c r="C870" s="148"/>
      <c r="D870" s="148"/>
      <c r="E870" s="148"/>
    </row>
    <row r="871">
      <c r="B871" s="148"/>
      <c r="C871" s="148"/>
      <c r="D871" s="148"/>
      <c r="E871" s="148"/>
    </row>
    <row r="872">
      <c r="B872" s="148"/>
      <c r="C872" s="148"/>
      <c r="D872" s="148"/>
      <c r="E872" s="148"/>
    </row>
    <row r="873">
      <c r="B873" s="148"/>
      <c r="C873" s="148"/>
      <c r="D873" s="148"/>
      <c r="E873" s="148"/>
    </row>
    <row r="874">
      <c r="B874" s="148"/>
      <c r="C874" s="148"/>
      <c r="D874" s="148"/>
      <c r="E874" s="148"/>
    </row>
    <row r="875">
      <c r="B875" s="148"/>
      <c r="C875" s="148"/>
      <c r="D875" s="148"/>
      <c r="E875" s="148"/>
    </row>
    <row r="876">
      <c r="B876" s="148"/>
      <c r="C876" s="148"/>
      <c r="D876" s="148"/>
      <c r="E876" s="148"/>
    </row>
    <row r="877">
      <c r="B877" s="148"/>
      <c r="C877" s="148"/>
      <c r="D877" s="148"/>
      <c r="E877" s="148"/>
    </row>
    <row r="878">
      <c r="B878" s="148"/>
      <c r="C878" s="148"/>
      <c r="D878" s="148"/>
      <c r="E878" s="148"/>
    </row>
    <row r="879">
      <c r="B879" s="148"/>
      <c r="C879" s="148"/>
      <c r="D879" s="148"/>
      <c r="E879" s="148"/>
    </row>
    <row r="880">
      <c r="B880" s="148"/>
      <c r="C880" s="148"/>
      <c r="D880" s="148"/>
      <c r="E880" s="148"/>
    </row>
    <row r="881">
      <c r="B881" s="148"/>
      <c r="C881" s="148"/>
      <c r="D881" s="148"/>
      <c r="E881" s="148"/>
    </row>
    <row r="882">
      <c r="B882" s="148"/>
      <c r="C882" s="148"/>
      <c r="D882" s="148"/>
      <c r="E882" s="148"/>
    </row>
    <row r="883">
      <c r="B883" s="148"/>
      <c r="C883" s="148"/>
      <c r="D883" s="148"/>
      <c r="E883" s="148"/>
    </row>
    <row r="884">
      <c r="B884" s="148"/>
      <c r="C884" s="148"/>
      <c r="D884" s="148"/>
      <c r="E884" s="148"/>
    </row>
    <row r="885">
      <c r="B885" s="148"/>
      <c r="C885" s="148"/>
      <c r="D885" s="148"/>
      <c r="E885" s="148"/>
    </row>
    <row r="886">
      <c r="B886" s="148"/>
      <c r="C886" s="148"/>
      <c r="D886" s="148"/>
      <c r="E886" s="148"/>
    </row>
    <row r="887">
      <c r="B887" s="148"/>
      <c r="C887" s="148"/>
      <c r="D887" s="148"/>
      <c r="E887" s="148"/>
    </row>
    <row r="888">
      <c r="B888" s="148"/>
      <c r="C888" s="148"/>
      <c r="D888" s="148"/>
      <c r="E888" s="148"/>
    </row>
    <row r="889">
      <c r="B889" s="148"/>
      <c r="C889" s="148"/>
      <c r="D889" s="148"/>
      <c r="E889" s="148"/>
    </row>
    <row r="890">
      <c r="B890" s="148"/>
      <c r="C890" s="148"/>
      <c r="D890" s="148"/>
      <c r="E890" s="148"/>
    </row>
    <row r="891">
      <c r="B891" s="148"/>
      <c r="C891" s="148"/>
      <c r="D891" s="148"/>
      <c r="E891" s="148"/>
    </row>
    <row r="892">
      <c r="B892" s="148"/>
      <c r="C892" s="148"/>
      <c r="D892" s="148"/>
      <c r="E892" s="148"/>
    </row>
    <row r="893">
      <c r="B893" s="148"/>
      <c r="C893" s="148"/>
      <c r="D893" s="148"/>
      <c r="E893" s="148"/>
    </row>
    <row r="894">
      <c r="B894" s="148"/>
      <c r="C894" s="148"/>
      <c r="D894" s="148"/>
      <c r="E894" s="148"/>
    </row>
    <row r="895">
      <c r="B895" s="148"/>
      <c r="C895" s="148"/>
      <c r="D895" s="148"/>
      <c r="E895" s="148"/>
    </row>
    <row r="896">
      <c r="B896" s="148"/>
      <c r="C896" s="148"/>
      <c r="D896" s="148"/>
      <c r="E896" s="148"/>
    </row>
    <row r="897">
      <c r="B897" s="148"/>
      <c r="C897" s="148"/>
      <c r="D897" s="148"/>
      <c r="E897" s="148"/>
    </row>
    <row r="898">
      <c r="B898" s="148"/>
      <c r="C898" s="148"/>
      <c r="D898" s="148"/>
      <c r="E898" s="148"/>
    </row>
    <row r="899">
      <c r="B899" s="148"/>
      <c r="C899" s="148"/>
      <c r="D899" s="148"/>
      <c r="E899" s="148"/>
    </row>
    <row r="900">
      <c r="B900" s="148"/>
      <c r="C900" s="148"/>
      <c r="D900" s="148"/>
      <c r="E900" s="148"/>
    </row>
    <row r="901">
      <c r="B901" s="148"/>
      <c r="C901" s="148"/>
      <c r="D901" s="148"/>
      <c r="E901" s="148"/>
    </row>
    <row r="902">
      <c r="B902" s="148"/>
      <c r="C902" s="148"/>
      <c r="D902" s="148"/>
      <c r="E902" s="148"/>
    </row>
    <row r="903">
      <c r="B903" s="148"/>
      <c r="C903" s="148"/>
      <c r="D903" s="148"/>
      <c r="E903" s="148"/>
    </row>
    <row r="904">
      <c r="B904" s="148"/>
      <c r="C904" s="148"/>
      <c r="D904" s="148"/>
      <c r="E904" s="148"/>
    </row>
    <row r="905">
      <c r="B905" s="148"/>
      <c r="C905" s="148"/>
      <c r="D905" s="148"/>
      <c r="E905" s="148"/>
    </row>
    <row r="906">
      <c r="B906" s="148"/>
      <c r="C906" s="148"/>
      <c r="D906" s="148"/>
      <c r="E906" s="148"/>
    </row>
    <row r="907">
      <c r="B907" s="148"/>
      <c r="C907" s="148"/>
      <c r="D907" s="148"/>
      <c r="E907" s="148"/>
    </row>
    <row r="908">
      <c r="B908" s="148"/>
      <c r="C908" s="148"/>
      <c r="D908" s="148"/>
      <c r="E908" s="148"/>
    </row>
    <row r="909">
      <c r="B909" s="148"/>
      <c r="C909" s="148"/>
      <c r="D909" s="148"/>
      <c r="E909" s="148"/>
    </row>
    <row r="910">
      <c r="B910" s="148"/>
      <c r="C910" s="148"/>
      <c r="D910" s="148"/>
      <c r="E910" s="148"/>
    </row>
    <row r="911">
      <c r="B911" s="148"/>
      <c r="C911" s="148"/>
      <c r="D911" s="148"/>
      <c r="E911" s="148"/>
    </row>
    <row r="912">
      <c r="B912" s="148"/>
      <c r="C912" s="148"/>
      <c r="D912" s="148"/>
      <c r="E912" s="148"/>
    </row>
    <row r="913">
      <c r="B913" s="148"/>
      <c r="C913" s="148"/>
      <c r="D913" s="148"/>
      <c r="E913" s="148"/>
    </row>
    <row r="914">
      <c r="B914" s="148"/>
      <c r="C914" s="148"/>
      <c r="D914" s="148"/>
      <c r="E914" s="148"/>
    </row>
    <row r="915">
      <c r="B915" s="148"/>
      <c r="C915" s="148"/>
      <c r="D915" s="148"/>
      <c r="E915" s="148"/>
    </row>
    <row r="916">
      <c r="B916" s="148"/>
      <c r="C916" s="148"/>
      <c r="D916" s="148"/>
      <c r="E916" s="148"/>
    </row>
    <row r="917">
      <c r="B917" s="148"/>
      <c r="C917" s="148"/>
      <c r="D917" s="148"/>
      <c r="E917" s="148"/>
    </row>
    <row r="918">
      <c r="B918" s="148"/>
      <c r="C918" s="148"/>
      <c r="D918" s="148"/>
      <c r="E918" s="148"/>
    </row>
    <row r="919">
      <c r="B919" s="148"/>
      <c r="C919" s="148"/>
      <c r="D919" s="148"/>
      <c r="E919" s="148"/>
    </row>
    <row r="920">
      <c r="B920" s="148"/>
      <c r="C920" s="148"/>
      <c r="D920" s="148"/>
      <c r="E920" s="148"/>
    </row>
    <row r="921">
      <c r="B921" s="148"/>
      <c r="C921" s="148"/>
      <c r="D921" s="148"/>
      <c r="E921" s="148"/>
    </row>
    <row r="922">
      <c r="B922" s="148"/>
      <c r="C922" s="148"/>
      <c r="D922" s="148"/>
      <c r="E922" s="148"/>
    </row>
    <row r="923">
      <c r="B923" s="148"/>
      <c r="C923" s="148"/>
      <c r="D923" s="148"/>
      <c r="E923" s="148"/>
    </row>
    <row r="924">
      <c r="B924" s="148"/>
      <c r="C924" s="148"/>
      <c r="D924" s="148"/>
      <c r="E924" s="148"/>
    </row>
    <row r="925">
      <c r="B925" s="148"/>
      <c r="C925" s="148"/>
      <c r="D925" s="148"/>
      <c r="E925" s="148"/>
    </row>
    <row r="926">
      <c r="B926" s="148"/>
      <c r="C926" s="148"/>
      <c r="D926" s="148"/>
      <c r="E926" s="148"/>
    </row>
    <row r="927">
      <c r="B927" s="148"/>
      <c r="C927" s="148"/>
      <c r="D927" s="148"/>
      <c r="E927" s="148"/>
    </row>
    <row r="928">
      <c r="B928" s="148"/>
      <c r="C928" s="148"/>
      <c r="D928" s="148"/>
      <c r="E928" s="148"/>
    </row>
    <row r="929">
      <c r="B929" s="148"/>
      <c r="C929" s="148"/>
      <c r="D929" s="148"/>
      <c r="E929" s="148"/>
    </row>
    <row r="930">
      <c r="B930" s="148"/>
      <c r="C930" s="148"/>
      <c r="D930" s="148"/>
      <c r="E930" s="148"/>
    </row>
    <row r="931">
      <c r="B931" s="148"/>
      <c r="C931" s="148"/>
      <c r="D931" s="148"/>
      <c r="E931" s="148"/>
    </row>
    <row r="932">
      <c r="B932" s="148"/>
      <c r="C932" s="148"/>
      <c r="D932" s="148"/>
      <c r="E932" s="148"/>
    </row>
    <row r="933">
      <c r="B933" s="148"/>
      <c r="C933" s="148"/>
      <c r="D933" s="148"/>
      <c r="E933" s="148"/>
    </row>
    <row r="934">
      <c r="B934" s="148"/>
      <c r="C934" s="148"/>
      <c r="D934" s="148"/>
      <c r="E934" s="148"/>
    </row>
    <row r="935">
      <c r="B935" s="148"/>
      <c r="C935" s="148"/>
      <c r="D935" s="148"/>
      <c r="E935" s="148"/>
    </row>
    <row r="936">
      <c r="B936" s="148"/>
      <c r="C936" s="148"/>
      <c r="D936" s="148"/>
      <c r="E936" s="148"/>
    </row>
    <row r="937">
      <c r="B937" s="148"/>
      <c r="C937" s="148"/>
      <c r="D937" s="148"/>
      <c r="E937" s="148"/>
    </row>
    <row r="938">
      <c r="B938" s="148"/>
      <c r="C938" s="148"/>
      <c r="D938" s="148"/>
      <c r="E938" s="148"/>
    </row>
    <row r="939">
      <c r="B939" s="148"/>
      <c r="C939" s="148"/>
      <c r="D939" s="148"/>
      <c r="E939" s="148"/>
    </row>
    <row r="940">
      <c r="B940" s="148"/>
      <c r="C940" s="148"/>
      <c r="D940" s="148"/>
      <c r="E940" s="148"/>
    </row>
    <row r="941">
      <c r="B941" s="148"/>
      <c r="C941" s="148"/>
      <c r="D941" s="148"/>
      <c r="E941" s="148"/>
    </row>
    <row r="942">
      <c r="B942" s="148"/>
      <c r="C942" s="148"/>
      <c r="D942" s="148"/>
      <c r="E942" s="148"/>
    </row>
    <row r="943">
      <c r="B943" s="148"/>
      <c r="C943" s="148"/>
      <c r="D943" s="148"/>
      <c r="E943" s="148"/>
    </row>
    <row r="944">
      <c r="B944" s="148"/>
      <c r="C944" s="148"/>
      <c r="D944" s="148"/>
      <c r="E944" s="148"/>
    </row>
    <row r="945">
      <c r="B945" s="148"/>
      <c r="C945" s="148"/>
      <c r="D945" s="148"/>
      <c r="E945" s="148"/>
    </row>
    <row r="946">
      <c r="B946" s="148"/>
      <c r="C946" s="148"/>
      <c r="D946" s="148"/>
      <c r="E946" s="148"/>
    </row>
    <row r="947">
      <c r="B947" s="148"/>
      <c r="C947" s="148"/>
      <c r="D947" s="148"/>
      <c r="E947" s="148"/>
    </row>
    <row r="948">
      <c r="B948" s="148"/>
      <c r="C948" s="148"/>
      <c r="D948" s="148"/>
      <c r="E948" s="148"/>
    </row>
    <row r="949">
      <c r="B949" s="148"/>
      <c r="C949" s="148"/>
      <c r="D949" s="148"/>
      <c r="E949" s="148"/>
    </row>
    <row r="950">
      <c r="B950" s="148"/>
      <c r="C950" s="148"/>
      <c r="D950" s="148"/>
      <c r="E950" s="148"/>
    </row>
    <row r="951">
      <c r="B951" s="148"/>
      <c r="C951" s="148"/>
      <c r="D951" s="148"/>
      <c r="E951" s="148"/>
    </row>
    <row r="952">
      <c r="B952" s="148"/>
      <c r="C952" s="148"/>
      <c r="D952" s="148"/>
      <c r="E952" s="148"/>
    </row>
    <row r="953">
      <c r="B953" s="148"/>
      <c r="C953" s="148"/>
      <c r="D953" s="148"/>
      <c r="E953" s="148"/>
    </row>
    <row r="954">
      <c r="B954" s="148"/>
      <c r="C954" s="148"/>
      <c r="D954" s="148"/>
      <c r="E954" s="148"/>
    </row>
    <row r="955">
      <c r="B955" s="148"/>
      <c r="C955" s="148"/>
      <c r="D955" s="148"/>
      <c r="E955" s="148"/>
    </row>
    <row r="956">
      <c r="B956" s="148"/>
      <c r="C956" s="148"/>
      <c r="D956" s="148"/>
      <c r="E956" s="148"/>
    </row>
    <row r="957">
      <c r="B957" s="148"/>
      <c r="C957" s="148"/>
      <c r="D957" s="148"/>
      <c r="E957" s="148"/>
    </row>
    <row r="958">
      <c r="B958" s="148"/>
      <c r="C958" s="148"/>
      <c r="D958" s="148"/>
      <c r="E958" s="148"/>
    </row>
    <row r="959">
      <c r="B959" s="148"/>
      <c r="C959" s="148"/>
      <c r="D959" s="148"/>
      <c r="E959" s="148"/>
    </row>
    <row r="960">
      <c r="B960" s="148"/>
      <c r="C960" s="148"/>
      <c r="D960" s="148"/>
      <c r="E960" s="148"/>
    </row>
    <row r="961">
      <c r="B961" s="148"/>
      <c r="C961" s="148"/>
      <c r="D961" s="148"/>
      <c r="E961" s="148"/>
    </row>
    <row r="962">
      <c r="B962" s="148"/>
      <c r="C962" s="148"/>
      <c r="D962" s="148"/>
      <c r="E962" s="148"/>
    </row>
    <row r="963">
      <c r="B963" s="148"/>
      <c r="C963" s="148"/>
      <c r="D963" s="148"/>
      <c r="E963" s="148"/>
    </row>
    <row r="964">
      <c r="B964" s="148"/>
      <c r="C964" s="148"/>
      <c r="D964" s="148"/>
      <c r="E964" s="148"/>
    </row>
    <row r="965">
      <c r="B965" s="148"/>
      <c r="C965" s="148"/>
      <c r="D965" s="148"/>
      <c r="E965" s="148"/>
    </row>
    <row r="966">
      <c r="B966" s="148"/>
      <c r="C966" s="148"/>
      <c r="D966" s="148"/>
      <c r="E966" s="148"/>
    </row>
    <row r="967">
      <c r="B967" s="148"/>
      <c r="C967" s="148"/>
      <c r="D967" s="148"/>
      <c r="E967" s="148"/>
    </row>
    <row r="968">
      <c r="B968" s="148"/>
      <c r="C968" s="148"/>
      <c r="D968" s="148"/>
      <c r="E968" s="148"/>
    </row>
    <row r="969">
      <c r="B969" s="148"/>
      <c r="C969" s="148"/>
      <c r="D969" s="148"/>
      <c r="E969" s="148"/>
    </row>
    <row r="970">
      <c r="B970" s="148"/>
      <c r="C970" s="148"/>
      <c r="D970" s="148"/>
      <c r="E970" s="148"/>
    </row>
    <row r="971">
      <c r="B971" s="148"/>
      <c r="C971" s="148"/>
      <c r="D971" s="148"/>
      <c r="E971" s="148"/>
    </row>
    <row r="972">
      <c r="B972" s="148"/>
      <c r="C972" s="148"/>
      <c r="D972" s="148"/>
      <c r="E972" s="148"/>
    </row>
    <row r="973">
      <c r="B973" s="148"/>
      <c r="C973" s="148"/>
      <c r="D973" s="148"/>
      <c r="E973" s="148"/>
    </row>
    <row r="974">
      <c r="B974" s="148"/>
      <c r="C974" s="148"/>
      <c r="D974" s="148"/>
      <c r="E974" s="148"/>
    </row>
    <row r="975">
      <c r="B975" s="148"/>
      <c r="C975" s="148"/>
      <c r="D975" s="148"/>
      <c r="E975" s="148"/>
    </row>
    <row r="976">
      <c r="B976" s="148"/>
      <c r="C976" s="148"/>
      <c r="D976" s="148"/>
      <c r="E976" s="148"/>
    </row>
    <row r="977">
      <c r="B977" s="148"/>
      <c r="C977" s="148"/>
      <c r="D977" s="148"/>
      <c r="E977" s="148"/>
    </row>
    <row r="978">
      <c r="B978" s="148"/>
      <c r="C978" s="148"/>
      <c r="D978" s="148"/>
      <c r="E978" s="148"/>
    </row>
    <row r="979">
      <c r="B979" s="148"/>
      <c r="C979" s="148"/>
      <c r="D979" s="148"/>
      <c r="E979" s="148"/>
    </row>
    <row r="980">
      <c r="B980" s="148"/>
      <c r="C980" s="148"/>
      <c r="D980" s="148"/>
      <c r="E980" s="148"/>
    </row>
    <row r="981">
      <c r="B981" s="148"/>
      <c r="C981" s="148"/>
      <c r="D981" s="148"/>
      <c r="E981" s="148"/>
    </row>
    <row r="982">
      <c r="B982" s="148"/>
      <c r="C982" s="148"/>
      <c r="D982" s="148"/>
      <c r="E982" s="148"/>
    </row>
    <row r="983">
      <c r="B983" s="148"/>
      <c r="C983" s="148"/>
      <c r="D983" s="148"/>
      <c r="E983" s="148"/>
    </row>
    <row r="984">
      <c r="B984" s="148"/>
      <c r="C984" s="148"/>
      <c r="D984" s="148"/>
      <c r="E984" s="148"/>
    </row>
    <row r="985">
      <c r="B985" s="148"/>
      <c r="C985" s="148"/>
      <c r="D985" s="148"/>
      <c r="E985" s="148"/>
    </row>
    <row r="986">
      <c r="B986" s="148"/>
      <c r="C986" s="148"/>
      <c r="D986" s="148"/>
      <c r="E986" s="148"/>
    </row>
    <row r="987">
      <c r="B987" s="148"/>
      <c r="C987" s="148"/>
      <c r="D987" s="148"/>
      <c r="E987" s="148"/>
    </row>
    <row r="988">
      <c r="B988" s="148"/>
      <c r="C988" s="148"/>
      <c r="D988" s="148"/>
      <c r="E988" s="148"/>
    </row>
    <row r="989">
      <c r="B989" s="148"/>
      <c r="C989" s="148"/>
      <c r="D989" s="148"/>
      <c r="E989" s="148"/>
    </row>
    <row r="990">
      <c r="B990" s="148"/>
      <c r="C990" s="148"/>
      <c r="D990" s="148"/>
      <c r="E990" s="148"/>
    </row>
    <row r="991">
      <c r="B991" s="148"/>
      <c r="C991" s="148"/>
      <c r="D991" s="148"/>
      <c r="E991" s="148"/>
    </row>
    <row r="992">
      <c r="B992" s="148"/>
      <c r="C992" s="148"/>
      <c r="D992" s="148"/>
      <c r="E992" s="148"/>
    </row>
    <row r="993">
      <c r="B993" s="148"/>
      <c r="C993" s="148"/>
      <c r="D993" s="148"/>
      <c r="E993" s="148"/>
    </row>
    <row r="994">
      <c r="B994" s="148"/>
      <c r="C994" s="148"/>
      <c r="D994" s="148"/>
      <c r="E994" s="148"/>
    </row>
    <row r="995">
      <c r="B995" s="148"/>
      <c r="C995" s="148"/>
      <c r="D995" s="148"/>
      <c r="E995" s="148"/>
    </row>
    <row r="996">
      <c r="B996" s="148"/>
      <c r="C996" s="148"/>
      <c r="D996" s="148"/>
      <c r="E996" s="148"/>
    </row>
    <row r="997">
      <c r="B997" s="148"/>
      <c r="C997" s="148"/>
      <c r="D997" s="148"/>
      <c r="E997" s="148"/>
    </row>
    <row r="998">
      <c r="B998" s="148"/>
      <c r="C998" s="148"/>
      <c r="D998" s="148"/>
      <c r="E998" s="148"/>
    </row>
    <row r="999">
      <c r="B999" s="148"/>
      <c r="C999" s="148"/>
      <c r="D999" s="148"/>
      <c r="E999" s="148"/>
    </row>
    <row r="1000">
      <c r="B1000" s="148"/>
      <c r="C1000" s="148"/>
      <c r="D1000" s="148"/>
      <c r="E1000" s="148"/>
    </row>
    <row r="1001">
      <c r="B1001" s="148"/>
      <c r="C1001" s="148"/>
      <c r="D1001" s="148"/>
      <c r="E1001" s="148"/>
    </row>
    <row r="1002">
      <c r="B1002" s="148"/>
      <c r="C1002" s="148"/>
      <c r="D1002" s="148"/>
      <c r="E1002" s="148"/>
    </row>
    <row r="1003">
      <c r="B1003" s="148"/>
      <c r="C1003" s="148"/>
      <c r="D1003" s="148"/>
      <c r="E1003" s="148"/>
    </row>
    <row r="1004">
      <c r="B1004" s="148"/>
      <c r="C1004" s="148"/>
      <c r="D1004" s="148"/>
      <c r="E1004" s="148"/>
    </row>
  </sheetData>
  <mergeCells count="29">
    <mergeCell ref="B2:E2"/>
    <mergeCell ref="G2:K2"/>
    <mergeCell ref="B3:E3"/>
    <mergeCell ref="B4:E4"/>
    <mergeCell ref="B5:E6"/>
    <mergeCell ref="D9:E9"/>
    <mergeCell ref="D10:E10"/>
    <mergeCell ref="D11:E11"/>
    <mergeCell ref="D12:E12"/>
    <mergeCell ref="D13:E13"/>
    <mergeCell ref="D17:E17"/>
    <mergeCell ref="D18:E18"/>
    <mergeCell ref="B23:E24"/>
    <mergeCell ref="G24:K24"/>
    <mergeCell ref="B29:C30"/>
    <mergeCell ref="B31:C32"/>
    <mergeCell ref="D31:E32"/>
    <mergeCell ref="B33:C34"/>
    <mergeCell ref="D33:E34"/>
    <mergeCell ref="I32:K32"/>
    <mergeCell ref="G33:K33"/>
    <mergeCell ref="G34:K34"/>
    <mergeCell ref="B25:C27"/>
    <mergeCell ref="D25:E27"/>
    <mergeCell ref="I25:K26"/>
    <mergeCell ref="I27:J31"/>
    <mergeCell ref="K27:K31"/>
    <mergeCell ref="B28:E28"/>
    <mergeCell ref="D29:E30"/>
  </mergeCells>
  <conditionalFormatting sqref="B29:B31 C29:C30">
    <cfRule type="containsText" dxfId="0" priority="1" operator="containsText" text="에픽둘둘 대비">
      <formula>NOT(ISERROR(SEARCH(("에픽둘둘 대비"),(B29))))</formula>
    </cfRule>
  </conditionalFormatting>
  <conditionalFormatting sqref="B29:B31 C29:C30">
    <cfRule type="cellIs" dxfId="1" priority="2" operator="equal">
      <formula>"해방 초고스펙 대비"</formula>
    </cfRule>
  </conditionalFormatting>
  <conditionalFormatting sqref="B29:B31 C29:C30">
    <cfRule type="containsText" dxfId="2" priority="3" operator="containsText" text="에픽+유닠(중요)">
      <formula>NOT(ISERROR(SEARCH(("에픽+유닠(중요)"),(B29))))</formula>
    </cfRule>
  </conditionalFormatting>
  <conditionalFormatting sqref="B29:B31 C29:C30">
    <cfRule type="containsText" dxfId="3" priority="4" operator="containsText" text="레전둘둘 대비">
      <formula>NOT(ISERROR(SEARCH(("레전둘둘 대비"),(B29))))</formula>
    </cfRule>
  </conditionalFormatting>
  <conditionalFormatting sqref="B29:B31 C29:C30">
    <cfRule type="containsText" dxfId="4" priority="5" operator="containsText" text="엔드스펙 대비">
      <formula>NOT(ISERROR(SEARCH(("엔드스펙 대비"),(B29))))</formula>
    </cfRule>
  </conditionalFormatting>
  <conditionalFormatting sqref="B31:C34">
    <cfRule type="cellIs" dxfId="5" priority="6" operator="equal">
      <formula>"유닠둘둘 대비"</formula>
    </cfRule>
  </conditionalFormatting>
  <conditionalFormatting sqref="B31:C34">
    <cfRule type="containsText" dxfId="0" priority="7" operator="containsText" text="에픽둘둘 대비">
      <formula>NOT(ISERROR(SEARCH(("에픽둘둘 대비"),(B31))))</formula>
    </cfRule>
  </conditionalFormatting>
  <conditionalFormatting sqref="B31:C34">
    <cfRule type="containsText" dxfId="3" priority="8" operator="containsText" text="레전둘둘 대비">
      <formula>NOT(ISERROR(SEARCH(("레전둘둘 대비"),(B31))))</formula>
    </cfRule>
  </conditionalFormatting>
  <conditionalFormatting sqref="B31:C34">
    <cfRule type="cellIs" dxfId="1" priority="9" operator="equal">
      <formula>"해방 초고스펙 대비"</formula>
    </cfRule>
  </conditionalFormatting>
  <conditionalFormatting sqref="B31:C34">
    <cfRule type="containsText" dxfId="6" priority="10" operator="containsText" text="엔드스펙 대비">
      <formula>NOT(ISERROR(SEARCH(("엔드스펙 대비"),(B31))))</formula>
    </cfRule>
  </conditionalFormatting>
  <conditionalFormatting sqref="B31:C34">
    <cfRule type="containsBlanks" dxfId="7" priority="11">
      <formula>LEN(TRIM(B31))=0</formula>
    </cfRule>
  </conditionalFormatting>
  <conditionalFormatting sqref="B29:B31 C29:C30">
    <cfRule type="containsBlanks" dxfId="7" priority="12">
      <formula>LEN(TRIM(B29))=0</formula>
    </cfRule>
  </conditionalFormatting>
  <conditionalFormatting sqref="B29:B31 C29:C30">
    <cfRule type="cellIs" dxfId="8" priority="13" operator="equal">
      <formula>"유닠둘둘 대비"</formula>
    </cfRule>
  </conditionalFormatting>
  <conditionalFormatting sqref="B29:B31 C29:C30">
    <cfRule type="containsText" dxfId="9" priority="14" operator="containsText" text="18유닠둘둘 대비">
      <formula>NOT(ISERROR(SEARCH(("18유닠둘둘 대비"),(B29))))</formula>
    </cfRule>
  </conditionalFormatting>
  <conditionalFormatting sqref="B28:E28 I32">
    <cfRule type="notContainsBlanks" dxfId="10" priority="15">
      <formula>LEN(TRIM(B28))&gt;0</formula>
    </cfRule>
  </conditionalFormatting>
  <conditionalFormatting sqref="D25:E27 K27">
    <cfRule type="cellIs" dxfId="11" priority="16" operator="equal">
      <formula>"새틀라이트"</formula>
    </cfRule>
  </conditionalFormatting>
  <conditionalFormatting sqref="D25:E27 K27">
    <cfRule type="cellIs" dxfId="12" priority="17" operator="equal">
      <formula>"지옥불"</formula>
    </cfRule>
  </conditionalFormatting>
  <conditionalFormatting sqref="D25:E27 K27">
    <cfRule type="cellIs" dxfId="13" priority="18" operator="equal">
      <formula>"불"</formula>
    </cfRule>
  </conditionalFormatting>
  <conditionalFormatting sqref="D25:E27 K27">
    <cfRule type="cellIs" dxfId="14" priority="19" operator="equal">
      <formula>"적정"</formula>
    </cfRule>
  </conditionalFormatting>
  <conditionalFormatting sqref="D25:E27 K27">
    <cfRule type="cellIs" dxfId="15" priority="20" operator="equal">
      <formula>"물"</formula>
    </cfRule>
  </conditionalFormatting>
  <conditionalFormatting sqref="D25:E27 K27">
    <cfRule type="cellIs" dxfId="16" priority="21" operator="equal">
      <formula>"맹물"</formula>
    </cfRule>
  </conditionalFormatting>
  <conditionalFormatting sqref="B29:B31 C29:C30">
    <cfRule type="containsText" dxfId="12" priority="22" operator="containsText" text="노해방 초고스펙 대비">
      <formula>NOT(ISERROR(SEARCH(("노해방 초고스펙 대비"),(B29))))</formula>
    </cfRule>
  </conditionalFormatting>
  <conditionalFormatting sqref="B29:B31 C29:C30">
    <cfRule type="containsText" dxfId="17" priority="23" operator="containsText" text="5칠흑 엔드 대비">
      <formula>NOT(ISERROR(SEARCH(("5칠흑 엔드 대비"),(B29))))</formula>
    </cfRule>
  </conditionalFormatting>
  <conditionalFormatting sqref="B31:C34">
    <cfRule type="containsText" dxfId="2" priority="24" operator="containsText" text="에픽+유닠(중요) 대비">
      <formula>NOT(ISERROR(SEARCH(("에픽+유닠(중요) 대비"),(B31))))</formula>
    </cfRule>
  </conditionalFormatting>
  <conditionalFormatting sqref="B31:C34">
    <cfRule type="containsText" dxfId="9" priority="25" operator="containsText" text="18유닠둘둘 대비">
      <formula>NOT(ISERROR(SEARCH(("18유닠둘둘 대비"),(B31))))</formula>
    </cfRule>
  </conditionalFormatting>
  <conditionalFormatting sqref="B31:C34">
    <cfRule type="containsText" dxfId="12" priority="26" operator="containsText" text="노해방 초고스펙 대비">
      <formula>NOT(ISERROR(SEARCH(("노해방 초고스펙 대비"),(B31))))</formula>
    </cfRule>
  </conditionalFormatting>
  <conditionalFormatting sqref="B31:C34">
    <cfRule type="containsText" dxfId="17" priority="27" operator="containsText" text="5칠흑 엔드 대비">
      <formula>NOT(ISERROR(SEARCH(("5칠흑 엔드 대비"),(B31))))</formula>
    </cfRule>
  </conditionalFormatting>
  <conditionalFormatting sqref="B31:C34">
    <cfRule type="containsText" dxfId="18" priority="28" operator="containsText" text="그분들">
      <formula>NOT(ISERROR(SEARCH(("그분들"),(B31))))</formula>
    </cfRule>
  </conditionalFormatting>
  <conditionalFormatting sqref="D25:E27">
    <cfRule type="cellIs" dxfId="19" priority="29" operator="equal">
      <formula>"스탯딸"</formula>
    </cfRule>
  </conditionalFormatting>
  <conditionalFormatting sqref="K27:K31">
    <cfRule type="cellIs" dxfId="19" priority="30" operator="equal">
      <formula>"스탯딸"</formula>
    </cfRule>
  </conditionalFormatting>
  <dataValidations>
    <dataValidation type="decimal" allowBlank="1" showDropDown="1" showErrorMessage="1" sqref="E15">
      <formula1>0.0</formula1>
      <formula2>9.99999999E8</formula2>
    </dataValidation>
    <dataValidation type="list" allowBlank="1" showErrorMessage="1" sqref="B8">
      <formula1>"본섭,리부트"</formula1>
    </dataValidation>
    <dataValidation type="list" allowBlank="1" showErrorMessage="1" sqref="E8">
      <formula1>"1추,2추"</formula1>
    </dataValidation>
    <dataValidation type="list" allowBlank="1" showErrorMessage="1" sqref="D10">
      <formula1>"보공,패시브1렙,스펙미적용"</formula1>
    </dataValidation>
    <dataValidation type="list" allowBlank="1" showErrorMessage="1" sqref="D12">
      <formula1>"노쿨감,1초,2초,3초,4초,5초,7초"</formula1>
    </dataValidation>
    <dataValidation type="list" allowBlank="1" showErrorMessage="1" sqref="B3">
      <formula1>'무기공'!$B$7:$B$49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7.0"/>
    <col customWidth="1" min="3" max="3" width="8.75"/>
    <col customWidth="1" min="4" max="4" width="9.13"/>
    <col customWidth="1" min="6" max="6" width="40.5"/>
    <col customWidth="1" min="7" max="7" width="47.38"/>
    <col customWidth="1" min="8" max="8" width="43.88"/>
    <col customWidth="1" min="9" max="9" width="15.75"/>
  </cols>
  <sheetData>
    <row r="3">
      <c r="A3" s="36"/>
      <c r="B3" s="37" t="s">
        <v>114</v>
      </c>
      <c r="C3" s="38"/>
      <c r="D3" s="38"/>
      <c r="E3" s="38"/>
      <c r="F3" s="38"/>
      <c r="G3" s="38"/>
      <c r="H3" s="38"/>
      <c r="I3" s="39"/>
    </row>
    <row r="4">
      <c r="A4" s="40"/>
      <c r="B4" s="41" t="s">
        <v>115</v>
      </c>
      <c r="C4" s="42" t="s">
        <v>116</v>
      </c>
      <c r="D4" s="43"/>
      <c r="E4" s="43"/>
      <c r="F4" s="43"/>
      <c r="G4" s="43"/>
      <c r="H4" s="43"/>
      <c r="I4" s="44"/>
    </row>
    <row r="5">
      <c r="A5" s="40"/>
      <c r="B5" s="45" t="s">
        <v>117</v>
      </c>
      <c r="C5" s="46" t="s">
        <v>118</v>
      </c>
      <c r="D5" s="47" t="s">
        <v>119</v>
      </c>
      <c r="E5" s="46" t="s">
        <v>120</v>
      </c>
      <c r="F5" s="47" t="s">
        <v>121</v>
      </c>
      <c r="G5" s="46" t="s">
        <v>122</v>
      </c>
      <c r="H5" s="47" t="s">
        <v>123</v>
      </c>
      <c r="I5" s="47" t="s">
        <v>124</v>
      </c>
    </row>
    <row r="6">
      <c r="A6" s="40"/>
      <c r="B6" s="48" t="s">
        <v>125</v>
      </c>
      <c r="C6" s="49">
        <v>245.0</v>
      </c>
      <c r="D6" s="50" t="s">
        <v>126</v>
      </c>
      <c r="E6" s="51" t="s">
        <v>127</v>
      </c>
      <c r="F6" s="50" t="s">
        <v>128</v>
      </c>
      <c r="G6" s="51" t="s">
        <v>129</v>
      </c>
      <c r="H6" s="50" t="s">
        <v>130</v>
      </c>
      <c r="I6" s="50" t="s">
        <v>131</v>
      </c>
    </row>
    <row r="7">
      <c r="A7" s="40"/>
      <c r="B7" s="52" t="s">
        <v>132</v>
      </c>
      <c r="C7" s="53">
        <v>250.0</v>
      </c>
      <c r="D7" s="54" t="s">
        <v>133</v>
      </c>
      <c r="E7" s="55" t="s">
        <v>134</v>
      </c>
      <c r="F7" s="54" t="s">
        <v>135</v>
      </c>
      <c r="G7" s="55" t="s">
        <v>129</v>
      </c>
      <c r="H7" s="54" t="s">
        <v>136</v>
      </c>
      <c r="I7" s="54" t="s">
        <v>137</v>
      </c>
    </row>
    <row r="8">
      <c r="A8" s="40"/>
      <c r="B8" s="52" t="s">
        <v>138</v>
      </c>
      <c r="C8" s="53">
        <v>255.0</v>
      </c>
      <c r="D8" s="54" t="s">
        <v>139</v>
      </c>
      <c r="E8" s="55" t="s">
        <v>134</v>
      </c>
      <c r="F8" s="54" t="s">
        <v>140</v>
      </c>
      <c r="G8" s="56" t="s">
        <v>141</v>
      </c>
      <c r="H8" s="54" t="s">
        <v>142</v>
      </c>
      <c r="I8" s="54" t="s">
        <v>143</v>
      </c>
    </row>
    <row r="9">
      <c r="A9" s="40"/>
      <c r="B9" s="52" t="s">
        <v>144</v>
      </c>
      <c r="C9" s="53">
        <v>260.0</v>
      </c>
      <c r="D9" s="54" t="s">
        <v>145</v>
      </c>
      <c r="E9" s="55" t="s">
        <v>134</v>
      </c>
      <c r="F9" s="54" t="s">
        <v>146</v>
      </c>
      <c r="G9" s="56" t="s">
        <v>147</v>
      </c>
      <c r="H9" s="54" t="s">
        <v>148</v>
      </c>
      <c r="I9" s="54" t="s">
        <v>149</v>
      </c>
    </row>
    <row r="10">
      <c r="A10" s="40"/>
      <c r="B10" s="52" t="s">
        <v>150</v>
      </c>
      <c r="C10" s="53">
        <v>270.0</v>
      </c>
      <c r="D10" s="54" t="s">
        <v>151</v>
      </c>
      <c r="E10" s="55" t="s">
        <v>152</v>
      </c>
      <c r="F10" s="54" t="s">
        <v>153</v>
      </c>
      <c r="G10" s="56" t="s">
        <v>154</v>
      </c>
      <c r="H10" s="54" t="s">
        <v>148</v>
      </c>
      <c r="I10" s="54" t="s">
        <v>155</v>
      </c>
    </row>
    <row r="11">
      <c r="A11" s="40"/>
      <c r="B11" s="52" t="s">
        <v>156</v>
      </c>
      <c r="C11" s="53">
        <v>275.0</v>
      </c>
      <c r="D11" s="54" t="s">
        <v>157</v>
      </c>
      <c r="E11" s="55" t="s">
        <v>152</v>
      </c>
      <c r="F11" s="54" t="s">
        <v>158</v>
      </c>
      <c r="G11" s="56" t="s">
        <v>159</v>
      </c>
      <c r="H11" s="54" t="s">
        <v>160</v>
      </c>
      <c r="I11" s="54" t="s">
        <v>161</v>
      </c>
    </row>
    <row r="12">
      <c r="A12" s="40"/>
      <c r="B12" s="52" t="s">
        <v>162</v>
      </c>
      <c r="C12" s="53">
        <v>280.0</v>
      </c>
      <c r="D12" s="54" t="s">
        <v>163</v>
      </c>
      <c r="E12" s="55" t="s">
        <v>164</v>
      </c>
      <c r="F12" s="54" t="s">
        <v>165</v>
      </c>
      <c r="G12" s="56" t="s">
        <v>166</v>
      </c>
      <c r="H12" s="54" t="s">
        <v>167</v>
      </c>
      <c r="I12" s="54" t="s">
        <v>168</v>
      </c>
    </row>
    <row r="13">
      <c r="A13" s="40"/>
      <c r="B13" s="52" t="s">
        <v>169</v>
      </c>
      <c r="C13" s="53">
        <v>280.0</v>
      </c>
      <c r="D13" s="54" t="s">
        <v>170</v>
      </c>
      <c r="E13" s="55" t="s">
        <v>171</v>
      </c>
      <c r="F13" s="54" t="s">
        <v>172</v>
      </c>
      <c r="G13" s="56" t="s">
        <v>173</v>
      </c>
      <c r="H13" s="54" t="s">
        <v>174</v>
      </c>
      <c r="I13" s="54" t="s">
        <v>175</v>
      </c>
    </row>
    <row r="14">
      <c r="A14" s="40"/>
      <c r="B14" s="45" t="s">
        <v>176</v>
      </c>
      <c r="C14" s="57">
        <v>280.0</v>
      </c>
      <c r="D14" s="58" t="s">
        <v>177</v>
      </c>
      <c r="E14" s="59" t="s">
        <v>178</v>
      </c>
      <c r="F14" s="58" t="s">
        <v>179</v>
      </c>
      <c r="G14" s="59" t="s">
        <v>180</v>
      </c>
      <c r="H14" s="58" t="s">
        <v>181</v>
      </c>
      <c r="I14" s="58" t="s">
        <v>175</v>
      </c>
    </row>
  </sheetData>
  <mergeCells count="2">
    <mergeCell ref="B3:I3"/>
    <mergeCell ref="C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13"/>
    <col customWidth="1" min="5" max="5" width="18.13"/>
    <col customWidth="1" min="8" max="8" width="18.13"/>
    <col customWidth="1" min="11" max="11" width="17.5"/>
    <col customWidth="1" min="14" max="14" width="18.13"/>
    <col customWidth="1" min="17" max="17" width="18.38"/>
  </cols>
  <sheetData>
    <row r="1">
      <c r="A1" s="60"/>
    </row>
    <row r="2">
      <c r="A2" s="61"/>
      <c r="B2" s="62" t="s">
        <v>182</v>
      </c>
      <c r="C2" s="63" t="str">
        <f>'스카우터'!B3</f>
        <v>아델</v>
      </c>
    </row>
    <row r="3">
      <c r="A3" s="64"/>
      <c r="B3" s="64"/>
      <c r="C3" s="64"/>
      <c r="D3" s="60"/>
      <c r="E3" s="64"/>
      <c r="F3" s="64"/>
      <c r="G3" s="60"/>
      <c r="H3" s="64"/>
      <c r="I3" s="64"/>
    </row>
    <row r="4">
      <c r="A4" s="64"/>
      <c r="B4" s="64"/>
      <c r="C4" s="64"/>
      <c r="D4" s="60"/>
      <c r="E4" s="64"/>
      <c r="F4" s="64"/>
      <c r="G4" s="60"/>
      <c r="H4" s="64"/>
      <c r="I4" s="64"/>
    </row>
    <row r="5">
      <c r="A5" s="64"/>
      <c r="B5" s="65" t="s">
        <v>183</v>
      </c>
      <c r="C5" s="66"/>
      <c r="E5" s="67" t="s">
        <v>184</v>
      </c>
      <c r="F5" s="44"/>
      <c r="H5" s="67" t="s">
        <v>185</v>
      </c>
      <c r="I5" s="44"/>
      <c r="K5" s="68" t="s">
        <v>186</v>
      </c>
      <c r="L5" s="44"/>
      <c r="N5" s="67" t="s">
        <v>187</v>
      </c>
      <c r="O5" s="44"/>
    </row>
    <row r="6">
      <c r="A6" s="69"/>
      <c r="B6" s="70" t="s">
        <v>118</v>
      </c>
      <c r="C6" s="71">
        <f>'스카우터'!C8</f>
        <v>275</v>
      </c>
      <c r="E6" s="70" t="s">
        <v>118</v>
      </c>
      <c r="F6" s="71">
        <f>C6</f>
        <v>275</v>
      </c>
      <c r="H6" s="8" t="s">
        <v>188</v>
      </c>
      <c r="I6" s="72">
        <f>C7</f>
        <v>55784</v>
      </c>
      <c r="K6" s="73" t="s">
        <v>12</v>
      </c>
      <c r="L6" s="74">
        <f>F19</f>
        <v>5433</v>
      </c>
      <c r="N6" s="8" t="s">
        <v>189</v>
      </c>
      <c r="O6" s="72">
        <f>L8</f>
        <v>5433</v>
      </c>
    </row>
    <row r="7">
      <c r="A7" s="69"/>
      <c r="B7" s="8" t="s">
        <v>188</v>
      </c>
      <c r="C7" s="72">
        <f>'스카우터'!C9</f>
        <v>55784</v>
      </c>
      <c r="E7" s="8" t="s">
        <v>190</v>
      </c>
      <c r="F7" s="75">
        <f>18+F6*5</f>
        <v>1393</v>
      </c>
      <c r="H7" s="8" t="s">
        <v>18</v>
      </c>
      <c r="I7" s="72">
        <f t="shared" ref="I7:I9" si="1">C9</f>
        <v>8395</v>
      </c>
      <c r="K7" s="76" t="s">
        <v>191</v>
      </c>
      <c r="L7" s="74">
        <f>'스카우터'!H25</f>
        <v>0</v>
      </c>
      <c r="N7" s="8" t="s">
        <v>192</v>
      </c>
      <c r="O7" s="77">
        <f>L14</f>
        <v>6.25</v>
      </c>
    </row>
    <row r="8">
      <c r="A8" s="69"/>
      <c r="B8" s="8" t="s">
        <v>193</v>
      </c>
      <c r="C8" s="72">
        <f>'스카우터'!C10</f>
        <v>54277</v>
      </c>
      <c r="E8" s="8" t="s">
        <v>188</v>
      </c>
      <c r="F8" s="72">
        <f t="shared" ref="F8:F9" si="2">C7</f>
        <v>55784</v>
      </c>
      <c r="H8" s="8" t="s">
        <v>194</v>
      </c>
      <c r="I8" s="72">
        <f t="shared" si="1"/>
        <v>46760060</v>
      </c>
      <c r="K8" s="78" t="s">
        <v>195</v>
      </c>
      <c r="L8" s="79">
        <f>L6+L7</f>
        <v>5433</v>
      </c>
      <c r="N8" s="8" t="s">
        <v>190</v>
      </c>
      <c r="O8" s="72">
        <f>F7</f>
        <v>1393</v>
      </c>
    </row>
    <row r="9">
      <c r="A9" s="69"/>
      <c r="B9" s="8" t="s">
        <v>18</v>
      </c>
      <c r="C9" s="72">
        <f>I18</f>
        <v>8395</v>
      </c>
      <c r="E9" s="8" t="s">
        <v>193</v>
      </c>
      <c r="F9" s="72">
        <f t="shared" si="2"/>
        <v>54277</v>
      </c>
      <c r="H9" s="8" t="s">
        <v>196</v>
      </c>
      <c r="I9" s="72">
        <f t="shared" si="1"/>
        <v>67</v>
      </c>
      <c r="K9" s="80"/>
      <c r="L9" s="81"/>
      <c r="N9" s="8" t="s">
        <v>197</v>
      </c>
      <c r="O9" s="72">
        <f>F16+'스카우터'!H32</f>
        <v>14890</v>
      </c>
    </row>
    <row r="10">
      <c r="A10" s="69"/>
      <c r="B10" s="8" t="s">
        <v>194</v>
      </c>
      <c r="C10" s="72">
        <f>'스카우터'!C13</f>
        <v>46760060</v>
      </c>
      <c r="E10" s="8" t="s">
        <v>198</v>
      </c>
      <c r="F10" s="75">
        <f>F8-F9</f>
        <v>1507</v>
      </c>
      <c r="H10" s="8" t="s">
        <v>23</v>
      </c>
      <c r="I10" s="72">
        <f>C15+vlookup(C2,'직업패시브'!A:F,6,0)</f>
        <v>109</v>
      </c>
      <c r="N10" s="8" t="s">
        <v>199</v>
      </c>
      <c r="O10" s="72">
        <f>ROUNDDOWN(O6*(1+O7),0)+O9</f>
        <v>54279</v>
      </c>
    </row>
    <row r="11">
      <c r="A11" s="69"/>
      <c r="B11" s="8" t="s">
        <v>196</v>
      </c>
      <c r="C11" s="72">
        <f>'스카우터'!C14</f>
        <v>67</v>
      </c>
      <c r="E11" s="8" t="s">
        <v>200</v>
      </c>
      <c r="F11" s="75">
        <f>rounddown(F7*if('스카우터'!B3="팔라딘",0.16,0.15),0)</f>
        <v>208</v>
      </c>
      <c r="H11" s="8" t="s">
        <v>27</v>
      </c>
      <c r="I11" s="82">
        <f>'스카우터'!D18</f>
        <v>49.5</v>
      </c>
      <c r="K11" s="67" t="s">
        <v>201</v>
      </c>
      <c r="L11" s="44"/>
      <c r="N11" s="8" t="s">
        <v>202</v>
      </c>
      <c r="O11" s="83">
        <f>O10+ROUND(ROUNDDOWN(O8*if('스카우터'!B3="팔라딘",0.16,0.15),0)*(1+O7),0)</f>
        <v>55787</v>
      </c>
    </row>
    <row r="12">
      <c r="A12" s="69"/>
      <c r="B12" s="8" t="s">
        <v>203</v>
      </c>
      <c r="C12" s="72">
        <f>'스카우터'!C15</f>
        <v>398</v>
      </c>
      <c r="E12" s="84" t="s">
        <v>15</v>
      </c>
      <c r="F12" s="88">
        <f>ROUND((F10/F11-1)*100,0)/100</f>
        <v>6.25</v>
      </c>
      <c r="H12" s="8" t="s">
        <v>30</v>
      </c>
      <c r="I12" s="72">
        <f>vlookup(C2,'직업패시브'!A:M,12,0)</f>
        <v>1.3</v>
      </c>
      <c r="K12" s="90" t="s">
        <v>15</v>
      </c>
      <c r="L12" s="93">
        <f>F12</f>
        <v>6.25</v>
      </c>
    </row>
    <row r="13">
      <c r="A13" s="69"/>
      <c r="B13" s="8" t="s">
        <v>28</v>
      </c>
      <c r="C13" s="72">
        <f>'스카우터'!C16</f>
        <v>89.03</v>
      </c>
      <c r="H13" s="84" t="s">
        <v>204</v>
      </c>
      <c r="I13" s="100">
        <f>ROUNDUP(I8/((I6*4+I7)*0.01*I12*(1+I10/100)*(1+I9/100)*(1+I11/100)),)</f>
        <v>2978</v>
      </c>
      <c r="K13" s="8" t="s">
        <v>212</v>
      </c>
      <c r="L13" s="77">
        <f>'스카우터'!H26</f>
        <v>0</v>
      </c>
    </row>
    <row r="14">
      <c r="A14" s="69"/>
      <c r="B14" s="8" t="s">
        <v>213</v>
      </c>
      <c r="C14" s="72">
        <f>'스카우터'!C17</f>
        <v>82</v>
      </c>
      <c r="E14" s="67" t="s">
        <v>214</v>
      </c>
      <c r="F14" s="44"/>
      <c r="K14" s="84" t="s">
        <v>215</v>
      </c>
      <c r="L14" s="103">
        <f>L12+L13</f>
        <v>6.25</v>
      </c>
    </row>
    <row r="15">
      <c r="A15" s="69"/>
      <c r="B15" s="84" t="s">
        <v>216</v>
      </c>
      <c r="C15" s="104">
        <f>'스카우터'!C18</f>
        <v>99</v>
      </c>
      <c r="E15" s="8" t="s">
        <v>193</v>
      </c>
      <c r="F15" s="72">
        <f>C8</f>
        <v>54277</v>
      </c>
      <c r="H15" s="67" t="s">
        <v>217</v>
      </c>
      <c r="I15" s="44"/>
      <c r="K15" s="40"/>
      <c r="L15" s="106"/>
    </row>
    <row r="16">
      <c r="A16" s="69"/>
      <c r="B16" s="70" t="s">
        <v>218</v>
      </c>
      <c r="C16" s="71">
        <f>'스카우터'!C19</f>
        <v>13200</v>
      </c>
      <c r="E16" s="8" t="s">
        <v>197</v>
      </c>
      <c r="F16" s="72">
        <f>sum(C16:C19)</f>
        <v>14890</v>
      </c>
      <c r="H16" s="8" t="s">
        <v>18</v>
      </c>
      <c r="I16" s="72">
        <f>'스카우터'!C11</f>
        <v>8395</v>
      </c>
      <c r="K16" s="40"/>
      <c r="L16" s="106"/>
    </row>
    <row r="17">
      <c r="A17" s="69"/>
      <c r="B17" s="8" t="s">
        <v>219</v>
      </c>
      <c r="C17" s="72">
        <f>'스카우터'!C20</f>
        <v>1300</v>
      </c>
      <c r="E17" s="8" t="s">
        <v>220</v>
      </c>
      <c r="F17" s="72">
        <f>F15-F16</f>
        <v>39387</v>
      </c>
      <c r="H17" s="8" t="s">
        <v>221</v>
      </c>
      <c r="I17" s="72">
        <f>'스카우터'!C12</f>
        <v>0</v>
      </c>
    </row>
    <row r="18">
      <c r="A18" s="69"/>
      <c r="B18" s="8" t="s">
        <v>222</v>
      </c>
      <c r="C18" s="72">
        <f>'스카우터'!C21</f>
        <v>150</v>
      </c>
      <c r="E18" s="8" t="s">
        <v>15</v>
      </c>
      <c r="F18" s="77">
        <f>F12</f>
        <v>6.25</v>
      </c>
      <c r="H18" s="8" t="s">
        <v>223</v>
      </c>
      <c r="I18" s="72">
        <f>I16+IF(C2="듀얼블레이드",I17,IF(C2="섀도어",I17,IF(C2="카데나",I17,0)))</f>
        <v>8395</v>
      </c>
    </row>
    <row r="19">
      <c r="A19" s="112"/>
      <c r="B19" s="113" t="s">
        <v>225</v>
      </c>
      <c r="C19" s="114">
        <f>'스카우터'!C22</f>
        <v>240</v>
      </c>
      <c r="E19" s="84" t="s">
        <v>12</v>
      </c>
      <c r="F19" s="116">
        <f>ROUNDUP(F17/(1+F18),0)</f>
        <v>5433</v>
      </c>
    </row>
    <row r="20">
      <c r="A20" s="60"/>
    </row>
    <row r="21">
      <c r="A21" s="60"/>
    </row>
    <row r="22">
      <c r="A22" s="60"/>
    </row>
    <row r="23">
      <c r="A23" s="64"/>
      <c r="B23" s="65" t="s">
        <v>226</v>
      </c>
      <c r="C23" s="66"/>
      <c r="E23" s="67" t="s">
        <v>186</v>
      </c>
      <c r="F23" s="44"/>
      <c r="H23" s="67" t="s">
        <v>228</v>
      </c>
      <c r="I23" s="44"/>
      <c r="K23" s="67" t="s">
        <v>229</v>
      </c>
      <c r="L23" s="44"/>
      <c r="N23" s="67" t="s">
        <v>230</v>
      </c>
      <c r="O23" s="44"/>
      <c r="Q23" s="67" t="s">
        <v>231</v>
      </c>
      <c r="R23" s="44"/>
    </row>
    <row r="24">
      <c r="A24" s="69"/>
      <c r="B24" s="70" t="s">
        <v>118</v>
      </c>
      <c r="C24" s="71">
        <f>C6</f>
        <v>275</v>
      </c>
      <c r="E24" s="90" t="s">
        <v>12</v>
      </c>
      <c r="F24" s="120">
        <f>F19</f>
        <v>5433</v>
      </c>
      <c r="H24" s="8" t="s">
        <v>204</v>
      </c>
      <c r="I24" s="72">
        <f>I13</f>
        <v>2978</v>
      </c>
      <c r="K24" s="8" t="s">
        <v>232</v>
      </c>
      <c r="L24" s="72">
        <f>C15</f>
        <v>99</v>
      </c>
      <c r="N24" s="8" t="s">
        <v>28</v>
      </c>
      <c r="O24" s="72">
        <f>C13</f>
        <v>89.03</v>
      </c>
      <c r="Q24" s="8" t="s">
        <v>119</v>
      </c>
      <c r="R24" s="72">
        <f>F41+ROUNDDOWN(30*(1+F33),0)</f>
        <v>57365</v>
      </c>
    </row>
    <row r="25">
      <c r="A25" s="69"/>
      <c r="B25" s="8" t="s">
        <v>188</v>
      </c>
      <c r="C25" s="72">
        <f>F41</f>
        <v>57141</v>
      </c>
      <c r="E25" s="8" t="s">
        <v>234</v>
      </c>
      <c r="F25" s="72">
        <f>vlookup(C2,'보정패시브'!A:B,2,0)</f>
        <v>60</v>
      </c>
      <c r="H25" s="8" t="s">
        <v>235</v>
      </c>
      <c r="I25" s="72">
        <f>vlookup(C2,'보정패시브'!A:E,5,0)</f>
        <v>201</v>
      </c>
      <c r="K25" s="8" t="s">
        <v>236</v>
      </c>
      <c r="L25" s="72">
        <f>'직업패시브'!F7</f>
        <v>10</v>
      </c>
      <c r="N25" s="8" t="s">
        <v>237</v>
      </c>
      <c r="O25" s="72">
        <f>VLOOKUP(C2,'보정패시브'!A:J,10,0)</f>
        <v>20</v>
      </c>
      <c r="Q25" s="8" t="s">
        <v>18</v>
      </c>
      <c r="R25" s="72">
        <f>L40+ROUNDDOWN(30*L39,0)</f>
        <v>8470</v>
      </c>
    </row>
    <row r="26">
      <c r="A26" s="69"/>
      <c r="B26" s="8" t="s">
        <v>193</v>
      </c>
      <c r="C26" s="72">
        <f>F40</f>
        <v>55583</v>
      </c>
      <c r="E26" s="8" t="s">
        <v>238</v>
      </c>
      <c r="F26" s="72">
        <f>'직업패시브'!B7</f>
        <v>60</v>
      </c>
      <c r="H26" s="8" t="s">
        <v>239</v>
      </c>
      <c r="I26" s="72">
        <f>'직업패시브'!E7</f>
        <v>201</v>
      </c>
      <c r="K26" s="8" t="s">
        <v>241</v>
      </c>
      <c r="L26" s="83">
        <f>L24+L25</f>
        <v>109</v>
      </c>
      <c r="N26" s="8" t="s">
        <v>242</v>
      </c>
      <c r="O26" s="72">
        <f>(O24-O25)/(1-O25/100)</f>
        <v>86.2875</v>
      </c>
      <c r="Q26" s="8" t="s">
        <v>244</v>
      </c>
      <c r="R26" s="72">
        <f>(R24*4+R25)/100</f>
        <v>2379.3</v>
      </c>
    </row>
    <row r="27">
      <c r="A27" s="69"/>
      <c r="B27" s="8" t="s">
        <v>18</v>
      </c>
      <c r="C27" s="72">
        <f>L40</f>
        <v>8395</v>
      </c>
      <c r="E27" s="8" t="s">
        <v>189</v>
      </c>
      <c r="F27" s="83">
        <f>F24-F25+F26</f>
        <v>5433</v>
      </c>
      <c r="H27" s="8" t="s">
        <v>245</v>
      </c>
      <c r="I27" s="83">
        <f>I24-I25+I26</f>
        <v>2978</v>
      </c>
      <c r="N27" s="8" t="s">
        <v>246</v>
      </c>
      <c r="O27" s="72">
        <f>'직업패시브'!J7</f>
        <v>20</v>
      </c>
      <c r="Q27" s="8" t="s">
        <v>247</v>
      </c>
      <c r="R27" s="72">
        <f>I27+180</f>
        <v>3158</v>
      </c>
    </row>
    <row r="28">
      <c r="A28" s="69"/>
      <c r="B28" s="8" t="s">
        <v>194</v>
      </c>
      <c r="C28" s="72">
        <f>ROUNDDOWN((C25*4+C27)*O32*0.01*(1+C29/100)*(1+L26/100)*I27*(1+C34/100),0)</f>
        <v>47867991</v>
      </c>
      <c r="N28" s="8" t="s">
        <v>248</v>
      </c>
      <c r="O28" s="83">
        <f>O26+(100-O26)*O27/100</f>
        <v>89.03</v>
      </c>
      <c r="Q28" s="8" t="s">
        <v>249</v>
      </c>
      <c r="R28" s="72">
        <f>1+(L26+4)/100</f>
        <v>2.13</v>
      </c>
    </row>
    <row r="29">
      <c r="A29" s="69"/>
      <c r="B29" s="8" t="s">
        <v>196</v>
      </c>
      <c r="C29" s="72">
        <f>I33</f>
        <v>67</v>
      </c>
      <c r="E29" s="67" t="s">
        <v>201</v>
      </c>
      <c r="F29" s="44"/>
      <c r="H29" s="67" t="s">
        <v>250</v>
      </c>
      <c r="I29" s="44"/>
      <c r="K29" s="67" t="s">
        <v>251</v>
      </c>
      <c r="L29" s="44"/>
      <c r="N29" s="8" t="s">
        <v>252</v>
      </c>
      <c r="O29" s="83">
        <f>O28+(100-O28)*20/100</f>
        <v>91.224</v>
      </c>
      <c r="Q29" s="8" t="s">
        <v>253</v>
      </c>
      <c r="R29" s="131">
        <f>1+(I33+I40+6+90)/100</f>
        <v>6.61</v>
      </c>
    </row>
    <row r="30">
      <c r="A30" s="69"/>
      <c r="B30" s="8" t="s">
        <v>203</v>
      </c>
      <c r="C30" s="72">
        <f>I40</f>
        <v>398</v>
      </c>
      <c r="E30" s="8" t="s">
        <v>15</v>
      </c>
      <c r="F30" s="77">
        <f>F12</f>
        <v>6.25</v>
      </c>
      <c r="H30" s="8" t="s">
        <v>196</v>
      </c>
      <c r="I30" s="72">
        <f>C11</f>
        <v>67</v>
      </c>
      <c r="K30" s="8" t="s">
        <v>29</v>
      </c>
      <c r="L30" s="72">
        <f>C14</f>
        <v>82</v>
      </c>
      <c r="Q30" s="8" t="s">
        <v>254</v>
      </c>
      <c r="R30" s="72">
        <f>1+(C34)/100</f>
        <v>1.495</v>
      </c>
    </row>
    <row r="31">
      <c r="A31" s="69"/>
      <c r="B31" s="8" t="s">
        <v>28</v>
      </c>
      <c r="C31" s="72">
        <f>O28</f>
        <v>89.03</v>
      </c>
      <c r="E31" s="8" t="s">
        <v>255</v>
      </c>
      <c r="F31" s="82" t="str">
        <f>'스카우터'!D12</f>
        <v>4초</v>
      </c>
      <c r="H31" s="8" t="s">
        <v>256</v>
      </c>
      <c r="I31" s="72">
        <f>vlookup(C2,'보정패시브'!A:G,7,0)</f>
        <v>0</v>
      </c>
      <c r="K31" s="8" t="s">
        <v>257</v>
      </c>
      <c r="L31" s="72">
        <f>vlookup(C2,'보정패시브'!A:K,11,0)</f>
        <v>10</v>
      </c>
      <c r="N31" s="67" t="s">
        <v>258</v>
      </c>
      <c r="O31" s="44"/>
      <c r="Q31" s="8" t="s">
        <v>259</v>
      </c>
      <c r="R31" s="72">
        <f>(100-(C35-C35*O29/100))/100</f>
        <v>0.95612</v>
      </c>
    </row>
    <row r="32">
      <c r="A32" s="69"/>
      <c r="B32" s="8" t="s">
        <v>213</v>
      </c>
      <c r="C32" s="72">
        <f>L33</f>
        <v>82</v>
      </c>
      <c r="E32" s="8" t="s">
        <v>260</v>
      </c>
      <c r="F32" s="77">
        <f>vlookup(F31,'보정상수'!B:C,2,0)</f>
        <v>0.24</v>
      </c>
      <c r="H32" s="8" t="s">
        <v>261</v>
      </c>
      <c r="I32" s="72">
        <f>'직업패시브'!G7</f>
        <v>0</v>
      </c>
      <c r="K32" s="8" t="s">
        <v>262</v>
      </c>
      <c r="L32" s="72">
        <f>'직업패시브'!K7</f>
        <v>10</v>
      </c>
      <c r="N32" s="8" t="s">
        <v>30</v>
      </c>
      <c r="O32" s="72">
        <v>1.3</v>
      </c>
      <c r="Q32" s="8" t="s">
        <v>263</v>
      </c>
      <c r="R32" s="72">
        <f>(135+L33+30)/100</f>
        <v>2.47</v>
      </c>
    </row>
    <row r="33">
      <c r="A33" s="69"/>
      <c r="B33" s="84" t="s">
        <v>216</v>
      </c>
      <c r="C33" s="104">
        <f>L24</f>
        <v>99</v>
      </c>
      <c r="E33" s="8" t="s">
        <v>192</v>
      </c>
      <c r="F33" s="132">
        <f>F30+F32</f>
        <v>6.49</v>
      </c>
      <c r="H33" s="8" t="s">
        <v>264</v>
      </c>
      <c r="I33" s="83">
        <f>I30-I31+I32</f>
        <v>67</v>
      </c>
      <c r="K33" s="8" t="s">
        <v>189</v>
      </c>
      <c r="L33" s="83">
        <f>L30-L31+L32</f>
        <v>82</v>
      </c>
      <c r="N33" s="8" t="s">
        <v>31</v>
      </c>
      <c r="O33" s="72">
        <v>0.9</v>
      </c>
      <c r="Q33" s="8" t="s">
        <v>265</v>
      </c>
      <c r="R33" s="72">
        <v>1.2</v>
      </c>
    </row>
    <row r="34">
      <c r="A34" s="69"/>
      <c r="B34" s="84" t="s">
        <v>266</v>
      </c>
      <c r="C34" s="104">
        <f>'보정패시브'!I7</f>
        <v>49.5</v>
      </c>
      <c r="N34" s="8" t="s">
        <v>267</v>
      </c>
      <c r="O34" s="72">
        <v>2.2</v>
      </c>
      <c r="Q34" s="8" t="s">
        <v>268</v>
      </c>
      <c r="R34" s="77">
        <f>O35</f>
        <v>4.5</v>
      </c>
    </row>
    <row r="35">
      <c r="A35" s="60"/>
      <c r="B35" s="133" t="s">
        <v>269</v>
      </c>
      <c r="C35" s="104">
        <v>50.0</v>
      </c>
      <c r="E35" s="67" t="s">
        <v>187</v>
      </c>
      <c r="F35" s="44"/>
      <c r="H35" s="67" t="s">
        <v>270</v>
      </c>
      <c r="I35" s="44"/>
      <c r="K35" s="67" t="s">
        <v>271</v>
      </c>
      <c r="L35" s="44"/>
      <c r="N35" s="8" t="s">
        <v>272</v>
      </c>
      <c r="O35" s="77">
        <v>4.5</v>
      </c>
      <c r="Q35" s="8" t="s">
        <v>30</v>
      </c>
      <c r="R35" s="72">
        <f>O32</f>
        <v>1.3</v>
      </c>
    </row>
    <row r="36">
      <c r="A36" s="60"/>
      <c r="B36" s="65" t="s">
        <v>272</v>
      </c>
      <c r="C36" s="66"/>
      <c r="E36" s="8" t="s">
        <v>189</v>
      </c>
      <c r="F36" s="72">
        <f>F27</f>
        <v>5433</v>
      </c>
      <c r="H36" s="8" t="s">
        <v>26</v>
      </c>
      <c r="I36" s="72">
        <f>C12</f>
        <v>398</v>
      </c>
      <c r="K36" s="8" t="s">
        <v>18</v>
      </c>
      <c r="L36" s="72">
        <f>I16</f>
        <v>8395</v>
      </c>
      <c r="Q36" s="8" t="s">
        <v>31</v>
      </c>
      <c r="R36" s="72">
        <f>(O33+1)/2</f>
        <v>0.95</v>
      </c>
    </row>
    <row r="37">
      <c r="A37" s="60"/>
      <c r="B37" s="134">
        <f>Q38</f>
        <v>547994677</v>
      </c>
      <c r="C37" s="135"/>
      <c r="E37" s="8" t="s">
        <v>192</v>
      </c>
      <c r="F37" s="77">
        <f>F33</f>
        <v>6.49</v>
      </c>
      <c r="H37" s="8" t="s">
        <v>273</v>
      </c>
      <c r="I37" s="72">
        <f>vlookup(C2,'보정패시브'!A:H,8,0)</f>
        <v>10</v>
      </c>
      <c r="K37" s="8" t="s">
        <v>274</v>
      </c>
      <c r="L37" s="72">
        <f>vlookup(C2,'보정패시브'!A:D,4,0)</f>
        <v>0</v>
      </c>
      <c r="Q37" s="65" t="s">
        <v>275</v>
      </c>
      <c r="R37" s="39"/>
    </row>
    <row r="38">
      <c r="A38" s="60"/>
      <c r="B38" s="136" t="str">
        <f>TEXT(B37,"[&gt;=100000000]#억####만####;[&gt;=10000]#만####;#")</f>
        <v>5억4799만4677</v>
      </c>
      <c r="C38" s="7"/>
      <c r="E38" s="8" t="s">
        <v>190</v>
      </c>
      <c r="F38" s="72">
        <f>F7</f>
        <v>1393</v>
      </c>
      <c r="H38" s="8" t="s">
        <v>276</v>
      </c>
      <c r="I38" s="72">
        <f>'직업패시브'!H7</f>
        <v>10</v>
      </c>
      <c r="K38" s="8" t="s">
        <v>238</v>
      </c>
      <c r="L38" s="72">
        <f>'직업패시브'!D7</f>
        <v>0</v>
      </c>
      <c r="Q38" s="137">
        <f>ROUNDDOWN(R26*R27*R28*R29*R30*R31*R32*R33*R34*R35*R36*2.2/10,0)</f>
        <v>547994677</v>
      </c>
      <c r="R38" s="44"/>
    </row>
    <row r="39">
      <c r="A39" s="60"/>
      <c r="B39" s="134">
        <f>rounddown(B37/10000000,2)</f>
        <v>54.79</v>
      </c>
      <c r="C39" s="135"/>
      <c r="E39" s="8" t="s">
        <v>197</v>
      </c>
      <c r="F39" s="72">
        <f>F16</f>
        <v>14890</v>
      </c>
      <c r="H39" s="8" t="s">
        <v>277</v>
      </c>
      <c r="I39" s="72">
        <f>IF('스카우터'!D10="보공",10,0)</f>
        <v>0</v>
      </c>
      <c r="K39" s="8" t="s">
        <v>278</v>
      </c>
      <c r="L39" s="83">
        <v>2.5</v>
      </c>
    </row>
    <row r="40">
      <c r="A40" s="60"/>
      <c r="B40" s="134">
        <f>rounddown(log(B39/4.96)*100,2)</f>
        <v>104.32</v>
      </c>
      <c r="C40" s="135"/>
      <c r="E40" s="8" t="s">
        <v>199</v>
      </c>
      <c r="F40" s="72">
        <f>ROUNDDOWN(F36*(1+F37),0)+F39</f>
        <v>55583</v>
      </c>
      <c r="H40" s="8" t="s">
        <v>279</v>
      </c>
      <c r="I40" s="83">
        <f>I36-I37+I38-I39</f>
        <v>398</v>
      </c>
      <c r="K40" s="8" t="s">
        <v>280</v>
      </c>
      <c r="L40" s="83">
        <f>L36+(L38-L37)*L39</f>
        <v>8395</v>
      </c>
    </row>
    <row r="41">
      <c r="A41" s="60"/>
      <c r="B41" s="134">
        <f>if(B40&gt;0, round(1.7495*B40*B40+158.59*B40+20971,0),"출력불가능")</f>
        <v>56554</v>
      </c>
      <c r="C41" s="135"/>
      <c r="E41" s="8" t="s">
        <v>202</v>
      </c>
      <c r="F41" s="83">
        <f>F40+ROUND(ROUNDDOWN(F38*0.15,0)*(1+F37),0)</f>
        <v>57141</v>
      </c>
    </row>
    <row r="42">
      <c r="A42" s="60"/>
    </row>
    <row r="43">
      <c r="A43" s="60"/>
    </row>
    <row r="44">
      <c r="A44" s="60"/>
      <c r="B44" s="65" t="s">
        <v>281</v>
      </c>
      <c r="C44" s="66"/>
      <c r="E44" s="67" t="s">
        <v>191</v>
      </c>
      <c r="F44" s="44"/>
      <c r="H44" s="67" t="s">
        <v>228</v>
      </c>
      <c r="I44" s="44"/>
      <c r="K44" s="67" t="s">
        <v>229</v>
      </c>
      <c r="L44" s="44"/>
      <c r="N44" s="67" t="s">
        <v>230</v>
      </c>
      <c r="O44" s="44"/>
      <c r="Q44" s="67" t="s">
        <v>231</v>
      </c>
      <c r="R44" s="44"/>
    </row>
    <row r="45">
      <c r="A45" s="60"/>
      <c r="B45" s="70" t="s">
        <v>118</v>
      </c>
      <c r="C45" s="71">
        <f>C24</f>
        <v>275</v>
      </c>
      <c r="E45" s="8" t="s">
        <v>12</v>
      </c>
      <c r="F45" s="72">
        <f>F27</f>
        <v>5433</v>
      </c>
      <c r="H45" s="8" t="s">
        <v>204</v>
      </c>
      <c r="I45" s="72">
        <f>I27</f>
        <v>2978</v>
      </c>
      <c r="K45" s="8" t="s">
        <v>232</v>
      </c>
      <c r="L45" s="72">
        <f>L26</f>
        <v>109</v>
      </c>
      <c r="N45" s="8" t="s">
        <v>28</v>
      </c>
      <c r="O45" s="72">
        <f>O29</f>
        <v>91.224</v>
      </c>
      <c r="Q45" s="8" t="s">
        <v>119</v>
      </c>
      <c r="R45" s="72">
        <f>F60+ROUNDDOWN(30*(1+F52),0)</f>
        <v>57365</v>
      </c>
    </row>
    <row r="46">
      <c r="A46" s="60"/>
      <c r="B46" s="8" t="s">
        <v>188</v>
      </c>
      <c r="C46" s="72">
        <f>F60</f>
        <v>57141</v>
      </c>
      <c r="E46" s="8" t="s">
        <v>191</v>
      </c>
      <c r="F46" s="72">
        <f>'스카우터'!H25</f>
        <v>0</v>
      </c>
      <c r="H46" s="8" t="s">
        <v>282</v>
      </c>
      <c r="I46" s="72">
        <f>'스카우터'!H27</f>
        <v>0</v>
      </c>
      <c r="K46" s="8" t="s">
        <v>283</v>
      </c>
      <c r="L46" s="72">
        <f>'스카우터'!H29</f>
        <v>0</v>
      </c>
      <c r="N46" s="8" t="s">
        <v>284</v>
      </c>
      <c r="O46" s="72">
        <f>'스카우터'!H31</f>
        <v>0</v>
      </c>
      <c r="Q46" s="8" t="s">
        <v>18</v>
      </c>
      <c r="R46" s="72">
        <f>L40+ROUNDDOWN(30*L39,0)</f>
        <v>8470</v>
      </c>
    </row>
    <row r="47">
      <c r="A47" s="60"/>
      <c r="B47" s="8" t="s">
        <v>193</v>
      </c>
      <c r="C47" s="72">
        <f>F59</f>
        <v>55583</v>
      </c>
      <c r="E47" s="8" t="s">
        <v>195</v>
      </c>
      <c r="F47" s="83">
        <f>F45+F46</f>
        <v>5433</v>
      </c>
      <c r="H47" s="8" t="s">
        <v>285</v>
      </c>
      <c r="I47" s="83">
        <f>I45+I46</f>
        <v>2978</v>
      </c>
      <c r="K47" s="8" t="s">
        <v>286</v>
      </c>
      <c r="L47" s="83">
        <f>L45+L46</f>
        <v>109</v>
      </c>
      <c r="N47" s="84" t="s">
        <v>287</v>
      </c>
      <c r="O47" s="114">
        <f>O45+(100-O45)*O46/100</f>
        <v>91.224</v>
      </c>
      <c r="Q47" s="8" t="s">
        <v>244</v>
      </c>
      <c r="R47" s="72">
        <f>(R45*4+R46)/100</f>
        <v>2379.3</v>
      </c>
    </row>
    <row r="48">
      <c r="A48" s="60"/>
      <c r="B48" s="8" t="s">
        <v>18</v>
      </c>
      <c r="C48" s="72">
        <f>L40</f>
        <v>8395</v>
      </c>
      <c r="N48" s="138"/>
      <c r="O48" s="138"/>
      <c r="Q48" s="8" t="s">
        <v>247</v>
      </c>
      <c r="R48" s="72">
        <f>I47+180</f>
        <v>3158</v>
      </c>
    </row>
    <row r="49">
      <c r="A49" s="60"/>
      <c r="B49" s="8" t="s">
        <v>194</v>
      </c>
      <c r="C49" s="72">
        <f>ROUNDDOWN((C46*4+C48)*O53*0.01*(1+C50/100)*(1+L47/100)*I48*(1+C55/100),0)</f>
        <v>0</v>
      </c>
      <c r="E49" s="67" t="s">
        <v>212</v>
      </c>
      <c r="F49" s="44"/>
      <c r="H49" s="67" t="s">
        <v>288</v>
      </c>
      <c r="I49" s="44"/>
      <c r="K49" s="67" t="s">
        <v>251</v>
      </c>
      <c r="L49" s="44"/>
      <c r="N49" s="139"/>
      <c r="Q49" s="8" t="s">
        <v>249</v>
      </c>
      <c r="R49" s="72">
        <f>1+(L47+4)/100</f>
        <v>2.13</v>
      </c>
    </row>
    <row r="50">
      <c r="A50" s="60"/>
      <c r="B50" s="8" t="s">
        <v>196</v>
      </c>
      <c r="C50" s="72">
        <f>C29</f>
        <v>67</v>
      </c>
      <c r="E50" s="8" t="s">
        <v>15</v>
      </c>
      <c r="F50" s="77">
        <f>F33</f>
        <v>6.49</v>
      </c>
      <c r="H50" s="8" t="s">
        <v>289</v>
      </c>
      <c r="I50" s="72">
        <f>I33+I40</f>
        <v>465</v>
      </c>
      <c r="K50" s="8" t="s">
        <v>29</v>
      </c>
      <c r="L50" s="72">
        <f>L33</f>
        <v>82</v>
      </c>
      <c r="N50" s="140"/>
      <c r="O50" s="141"/>
      <c r="Q50" s="8" t="s">
        <v>253</v>
      </c>
      <c r="R50" s="131">
        <f>1+(I52+6+90)/100</f>
        <v>6.61</v>
      </c>
    </row>
    <row r="51">
      <c r="A51" s="60"/>
      <c r="B51" s="8" t="s">
        <v>203</v>
      </c>
      <c r="C51" s="72">
        <f>I52-C50</f>
        <v>398</v>
      </c>
      <c r="E51" s="8" t="s">
        <v>212</v>
      </c>
      <c r="F51" s="77">
        <f>'스카우터'!H26</f>
        <v>0</v>
      </c>
      <c r="H51" s="8" t="s">
        <v>290</v>
      </c>
      <c r="I51" s="72">
        <f>'스카우터'!H28</f>
        <v>0</v>
      </c>
      <c r="K51" s="8" t="s">
        <v>291</v>
      </c>
      <c r="L51" s="72">
        <f>'스카우터'!H30</f>
        <v>0</v>
      </c>
      <c r="N51" s="140"/>
      <c r="O51" s="141"/>
      <c r="Q51" s="8" t="s">
        <v>254</v>
      </c>
      <c r="R51" s="72">
        <f>1+(C34)/100</f>
        <v>1.495</v>
      </c>
    </row>
    <row r="52">
      <c r="A52" s="60"/>
      <c r="B52" s="8" t="s">
        <v>28</v>
      </c>
      <c r="C52" s="72">
        <f>O28+(100-O28)*O46/100</f>
        <v>89.03</v>
      </c>
      <c r="E52" s="8" t="s">
        <v>195</v>
      </c>
      <c r="F52" s="142">
        <f>F50+F51</f>
        <v>6.49</v>
      </c>
      <c r="H52" s="8" t="s">
        <v>292</v>
      </c>
      <c r="I52" s="83">
        <f>I50+I51</f>
        <v>465</v>
      </c>
      <c r="K52" s="8" t="s">
        <v>293</v>
      </c>
      <c r="L52" s="83">
        <f>L50+L51</f>
        <v>82</v>
      </c>
      <c r="N52" s="140"/>
      <c r="O52" s="141"/>
      <c r="Q52" s="8" t="s">
        <v>259</v>
      </c>
      <c r="R52" s="72">
        <f>(100-(C35-C35*O47/100))/100</f>
        <v>0.95612</v>
      </c>
    </row>
    <row r="53">
      <c r="A53" s="60"/>
      <c r="B53" s="8" t="s">
        <v>213</v>
      </c>
      <c r="C53" s="72">
        <f>L52</f>
        <v>82</v>
      </c>
      <c r="N53" s="140"/>
      <c r="O53" s="143"/>
      <c r="Q53" s="8" t="s">
        <v>263</v>
      </c>
      <c r="R53" s="72">
        <f>(135+L52+30)/100</f>
        <v>2.47</v>
      </c>
    </row>
    <row r="54">
      <c r="A54" s="60"/>
      <c r="B54" s="84" t="s">
        <v>216</v>
      </c>
      <c r="C54" s="104">
        <f>L45</f>
        <v>109</v>
      </c>
      <c r="E54" s="67" t="s">
        <v>187</v>
      </c>
      <c r="F54" s="44"/>
      <c r="Q54" s="8" t="s">
        <v>265</v>
      </c>
      <c r="R54" s="72">
        <v>1.2</v>
      </c>
    </row>
    <row r="55">
      <c r="A55" s="60"/>
      <c r="B55" s="84" t="s">
        <v>266</v>
      </c>
      <c r="C55" s="104">
        <f>'보정패시브'!I28</f>
        <v>134</v>
      </c>
      <c r="E55" s="8" t="s">
        <v>189</v>
      </c>
      <c r="F55" s="72">
        <f>F47</f>
        <v>5433</v>
      </c>
      <c r="Q55" s="8" t="s">
        <v>268</v>
      </c>
      <c r="R55" s="77">
        <f>O35</f>
        <v>4.5</v>
      </c>
    </row>
    <row r="56">
      <c r="A56" s="60"/>
      <c r="B56" s="133" t="s">
        <v>269</v>
      </c>
      <c r="C56" s="104">
        <v>50.0</v>
      </c>
      <c r="E56" s="8" t="s">
        <v>192</v>
      </c>
      <c r="F56" s="77">
        <f>F52</f>
        <v>6.49</v>
      </c>
      <c r="Q56" s="8" t="s">
        <v>30</v>
      </c>
      <c r="R56" s="72">
        <f>O32</f>
        <v>1.3</v>
      </c>
    </row>
    <row r="57">
      <c r="A57" s="60"/>
      <c r="B57" s="65" t="s">
        <v>272</v>
      </c>
      <c r="C57" s="66"/>
      <c r="E57" s="8" t="s">
        <v>190</v>
      </c>
      <c r="F57" s="72">
        <f>F7</f>
        <v>1393</v>
      </c>
      <c r="Q57" s="8" t="s">
        <v>31</v>
      </c>
      <c r="R57" s="72">
        <f>(O33+1)/2</f>
        <v>0.95</v>
      </c>
    </row>
    <row r="58">
      <c r="A58" s="60"/>
      <c r="B58" s="134">
        <f>Q59</f>
        <v>547994677</v>
      </c>
      <c r="C58" s="135"/>
      <c r="E58" s="8" t="s">
        <v>197</v>
      </c>
      <c r="F58" s="72">
        <f>sum(C16:C19)+'스카우터'!H32</f>
        <v>14890</v>
      </c>
      <c r="Q58" s="65" t="s">
        <v>275</v>
      </c>
      <c r="R58" s="39"/>
    </row>
    <row r="59">
      <c r="A59" s="60"/>
      <c r="B59" s="136" t="str">
        <f>TEXT(B58,"[&gt;=100000000]#억####만####;[&gt;=10000]#만####;#")</f>
        <v>5억4799만4677</v>
      </c>
      <c r="C59" s="7"/>
      <c r="E59" s="8" t="s">
        <v>199</v>
      </c>
      <c r="F59" s="72">
        <f>ROUNDDOWN(F55*(1+F56),0)+F58</f>
        <v>55583</v>
      </c>
      <c r="Q59" s="137">
        <f>ROUNDDOWN(R47*R48*R49*R50*R51*R52*R53*R54*R55*R56*R57*2.2/10,0)</f>
        <v>547994677</v>
      </c>
      <c r="R59" s="44"/>
    </row>
    <row r="60">
      <c r="A60" s="60"/>
      <c r="B60" s="134">
        <f>rounddown(B58/10000000,2)</f>
        <v>54.79</v>
      </c>
      <c r="C60" s="135"/>
      <c r="E60" s="8" t="s">
        <v>202</v>
      </c>
      <c r="F60" s="83">
        <f>F59+ROUND(ROUNDDOWN(F57*0.15,0)*(1+F56),0)</f>
        <v>57141</v>
      </c>
      <c r="Q60" s="144">
        <f>rounddown(Q59/10000000,2)</f>
        <v>54.79</v>
      </c>
    </row>
    <row r="61">
      <c r="A61" s="60"/>
      <c r="B61" s="134">
        <f>rounddown(log(B60/4.96)*100,2)*100</f>
        <v>10432</v>
      </c>
      <c r="C61" s="135"/>
      <c r="Q61" s="144">
        <f>rounddown(log(Q60/4.96)*100,2)</f>
        <v>104.32</v>
      </c>
    </row>
    <row r="62">
      <c r="A62" s="60"/>
      <c r="H62" s="25" t="s">
        <v>294</v>
      </c>
      <c r="I62" s="25">
        <v>3000.0</v>
      </c>
      <c r="Q62" s="109">
        <f>round(1.7495*Q61*Q61+158.59*Q61+20971,0)</f>
        <v>56554</v>
      </c>
    </row>
    <row r="63">
      <c r="A63" s="60"/>
    </row>
    <row r="64">
      <c r="A64" s="60"/>
      <c r="B64" s="144">
        <f>rounddown(log(B60/4.96)*100,2)</f>
        <v>104.32</v>
      </c>
      <c r="E64" s="67" t="s">
        <v>295</v>
      </c>
      <c r="F64" s="44"/>
      <c r="H64" s="25" t="s">
        <v>296</v>
      </c>
      <c r="I64" s="109">
        <f>I65-I62</f>
        <v>62500</v>
      </c>
      <c r="J64" s="145">
        <f t="shared" ref="J64:J70" si="3">(N64/$N$67)-1</f>
        <v>-0.2558498669</v>
      </c>
      <c r="L64" s="85">
        <f t="shared" ref="L64:L70" si="4">(-158.59+sqrt(158.59*158.59-4*1.7495*(20971-I64)))/(2*1.7495)</f>
        <v>115.2743097</v>
      </c>
      <c r="M64" s="109">
        <f t="shared" ref="M64:M70" si="5">L64/100</f>
        <v>1.152743097</v>
      </c>
      <c r="N64" s="109">
        <f t="shared" ref="N64:N70" si="6">power(10,M64)*4.96</f>
        <v>70.50578836</v>
      </c>
    </row>
    <row r="65">
      <c r="A65" s="60"/>
      <c r="E65" s="8" t="s">
        <v>297</v>
      </c>
      <c r="F65" s="72">
        <f>'스카우터'!C9</f>
        <v>55784</v>
      </c>
      <c r="H65" s="25" t="s">
        <v>298</v>
      </c>
      <c r="I65" s="109">
        <f>I66-I62</f>
        <v>65500</v>
      </c>
      <c r="J65" s="145">
        <f t="shared" si="3"/>
        <v>-0.1601755611</v>
      </c>
      <c r="L65" s="85">
        <f t="shared" si="4"/>
        <v>120.5271041</v>
      </c>
      <c r="M65" s="109">
        <f t="shared" si="5"/>
        <v>1.205271041</v>
      </c>
      <c r="N65" s="109">
        <f t="shared" si="6"/>
        <v>79.57061555</v>
      </c>
    </row>
    <row r="66">
      <c r="A66" s="60"/>
      <c r="E66" s="8" t="s">
        <v>299</v>
      </c>
      <c r="F66" s="72">
        <f>(-158.59+sqrt(158.59*158.59-4*1.7495*(20971-F65)))/(2*1.7495)</f>
        <v>102.8415</v>
      </c>
      <c r="H66" s="25" t="s">
        <v>300</v>
      </c>
      <c r="I66" s="109">
        <f>I67-I62/2</f>
        <v>68500</v>
      </c>
      <c r="J66" s="145">
        <f t="shared" si="3"/>
        <v>-0.05571494243</v>
      </c>
      <c r="L66" s="85">
        <f t="shared" si="4"/>
        <v>125.618565</v>
      </c>
      <c r="M66" s="109">
        <f t="shared" si="5"/>
        <v>1.25618565</v>
      </c>
      <c r="N66" s="109">
        <f t="shared" si="6"/>
        <v>89.4679171</v>
      </c>
    </row>
    <row r="67">
      <c r="A67" s="60"/>
      <c r="E67" s="8" t="s">
        <v>301</v>
      </c>
      <c r="F67" s="72">
        <f>F66/100</f>
        <v>1.028415</v>
      </c>
      <c r="H67" s="25" t="s">
        <v>117</v>
      </c>
      <c r="I67" s="146">
        <v>70000.0</v>
      </c>
      <c r="J67" s="145">
        <f t="shared" si="3"/>
        <v>0</v>
      </c>
      <c r="L67" s="85">
        <f t="shared" si="4"/>
        <v>128.1082533</v>
      </c>
      <c r="M67" s="109">
        <f t="shared" si="5"/>
        <v>1.281082533</v>
      </c>
      <c r="N67" s="109">
        <f t="shared" si="6"/>
        <v>94.74672546</v>
      </c>
    </row>
    <row r="68">
      <c r="A68" s="60"/>
      <c r="E68" s="8" t="s">
        <v>302</v>
      </c>
      <c r="F68" s="72">
        <f>power(10,F67)</f>
        <v>10.67615818</v>
      </c>
      <c r="H68" s="25" t="s">
        <v>303</v>
      </c>
      <c r="I68" s="109">
        <f>I67+I62/2</f>
        <v>71500</v>
      </c>
      <c r="J68" s="145">
        <f t="shared" si="3"/>
        <v>0.05814333692</v>
      </c>
      <c r="L68" s="85">
        <f t="shared" si="4"/>
        <v>130.5627034</v>
      </c>
      <c r="M68" s="109">
        <f t="shared" si="5"/>
        <v>1.305627034</v>
      </c>
      <c r="N68" s="109">
        <f t="shared" si="6"/>
        <v>100.2556162</v>
      </c>
    </row>
    <row r="69">
      <c r="A69" s="60"/>
      <c r="E69" s="8" t="s">
        <v>304</v>
      </c>
      <c r="F69" s="72">
        <f>F68*4.96</f>
        <v>52.95374457</v>
      </c>
      <c r="H69" s="25" t="s">
        <v>305</v>
      </c>
      <c r="I69" s="109">
        <f>I68+I62</f>
        <v>74500</v>
      </c>
      <c r="J69" s="145">
        <f t="shared" si="3"/>
        <v>0.1820438681</v>
      </c>
      <c r="L69" s="85">
        <f t="shared" si="4"/>
        <v>135.3716127</v>
      </c>
      <c r="M69" s="109">
        <f t="shared" si="5"/>
        <v>1.353716127</v>
      </c>
      <c r="N69" s="109">
        <f t="shared" si="6"/>
        <v>111.9947858</v>
      </c>
    </row>
    <row r="70">
      <c r="A70" s="60"/>
      <c r="E70" s="8" t="s">
        <v>27</v>
      </c>
      <c r="F70" s="147">
        <f>round((B39/F69-1),4)</f>
        <v>0.0347</v>
      </c>
      <c r="H70" s="25" t="s">
        <v>306</v>
      </c>
      <c r="I70" s="109">
        <f>I69+I62</f>
        <v>77500</v>
      </c>
      <c r="J70" s="145">
        <f t="shared" si="3"/>
        <v>0.31666605</v>
      </c>
      <c r="L70" s="85">
        <f t="shared" si="4"/>
        <v>140.055817</v>
      </c>
      <c r="M70" s="109">
        <f t="shared" si="5"/>
        <v>1.40055817</v>
      </c>
      <c r="N70" s="109">
        <f t="shared" si="6"/>
        <v>124.7497968</v>
      </c>
    </row>
    <row r="71">
      <c r="A71" s="60"/>
    </row>
    <row r="72">
      <c r="A72" s="60"/>
    </row>
    <row r="73">
      <c r="A73" s="60"/>
    </row>
    <row r="74">
      <c r="A74" s="60"/>
    </row>
    <row r="75">
      <c r="A75" s="60"/>
    </row>
    <row r="76">
      <c r="A76" s="60"/>
    </row>
    <row r="77">
      <c r="A77" s="60"/>
    </row>
    <row r="78">
      <c r="A78" s="60"/>
    </row>
    <row r="79">
      <c r="A79" s="60"/>
    </row>
    <row r="80">
      <c r="A80" s="60"/>
    </row>
    <row r="81">
      <c r="A81" s="60"/>
    </row>
    <row r="82">
      <c r="A82" s="60"/>
    </row>
    <row r="83">
      <c r="A83" s="60"/>
    </row>
    <row r="84">
      <c r="A84" s="60"/>
    </row>
    <row r="85">
      <c r="A85" s="60"/>
    </row>
    <row r="86">
      <c r="A86" s="60"/>
    </row>
    <row r="87">
      <c r="A87" s="60"/>
    </row>
    <row r="88">
      <c r="A88" s="60"/>
    </row>
    <row r="89">
      <c r="A89" s="60"/>
    </row>
    <row r="90">
      <c r="A90" s="60"/>
    </row>
    <row r="91">
      <c r="A91" s="60"/>
    </row>
    <row r="92">
      <c r="A92" s="60"/>
    </row>
    <row r="93">
      <c r="A93" s="60"/>
    </row>
    <row r="94">
      <c r="A94" s="60"/>
    </row>
    <row r="95">
      <c r="A95" s="60"/>
    </row>
    <row r="96">
      <c r="A96" s="60"/>
    </row>
    <row r="97">
      <c r="A97" s="60"/>
    </row>
    <row r="98">
      <c r="A98" s="60"/>
    </row>
    <row r="99">
      <c r="A99" s="60"/>
    </row>
    <row r="100">
      <c r="A100" s="60"/>
    </row>
    <row r="101">
      <c r="A101" s="60"/>
    </row>
    <row r="102">
      <c r="A102" s="60"/>
    </row>
    <row r="103">
      <c r="A103" s="60"/>
    </row>
    <row r="104">
      <c r="A104" s="60"/>
    </row>
    <row r="105">
      <c r="A105" s="60"/>
    </row>
    <row r="106">
      <c r="A106" s="60"/>
    </row>
    <row r="107">
      <c r="A107" s="60"/>
    </row>
    <row r="108">
      <c r="A108" s="60"/>
    </row>
    <row r="109">
      <c r="A109" s="60"/>
    </row>
    <row r="110">
      <c r="A110" s="60"/>
    </row>
    <row r="111">
      <c r="A111" s="60"/>
    </row>
    <row r="112">
      <c r="A112" s="60"/>
    </row>
    <row r="113">
      <c r="A113" s="60"/>
    </row>
    <row r="114">
      <c r="A114" s="60"/>
    </row>
    <row r="115">
      <c r="A115" s="60"/>
    </row>
    <row r="116">
      <c r="A116" s="60"/>
    </row>
    <row r="117">
      <c r="A117" s="60"/>
    </row>
    <row r="118">
      <c r="A118" s="60"/>
    </row>
    <row r="119">
      <c r="A119" s="60"/>
    </row>
    <row r="120">
      <c r="A120" s="60"/>
    </row>
    <row r="121">
      <c r="A121" s="60"/>
    </row>
    <row r="122">
      <c r="A122" s="60"/>
    </row>
    <row r="123">
      <c r="A123" s="60"/>
    </row>
    <row r="124">
      <c r="A124" s="60"/>
    </row>
    <row r="125">
      <c r="A125" s="60"/>
    </row>
    <row r="126">
      <c r="A126" s="60"/>
    </row>
    <row r="127">
      <c r="A127" s="60"/>
    </row>
    <row r="128">
      <c r="A128" s="60"/>
    </row>
    <row r="129">
      <c r="A129" s="60"/>
    </row>
    <row r="130">
      <c r="A130" s="60"/>
    </row>
    <row r="131">
      <c r="A131" s="60"/>
    </row>
    <row r="132">
      <c r="A132" s="60"/>
    </row>
    <row r="133">
      <c r="A133" s="60"/>
    </row>
    <row r="134">
      <c r="A134" s="60"/>
    </row>
    <row r="135">
      <c r="A135" s="60"/>
    </row>
    <row r="136">
      <c r="A136" s="60"/>
    </row>
    <row r="137">
      <c r="A137" s="60"/>
    </row>
    <row r="138">
      <c r="A138" s="60"/>
    </row>
    <row r="139">
      <c r="A139" s="60"/>
    </row>
    <row r="140">
      <c r="A140" s="60"/>
    </row>
    <row r="141">
      <c r="A141" s="60"/>
    </row>
    <row r="142">
      <c r="A142" s="60"/>
    </row>
    <row r="143">
      <c r="A143" s="60"/>
    </row>
    <row r="144">
      <c r="A144" s="60"/>
    </row>
    <row r="145">
      <c r="A145" s="60"/>
    </row>
    <row r="146">
      <c r="A146" s="60"/>
    </row>
    <row r="147">
      <c r="A147" s="60"/>
    </row>
    <row r="148">
      <c r="A148" s="60"/>
    </row>
    <row r="149">
      <c r="A149" s="60"/>
    </row>
    <row r="150">
      <c r="A150" s="60"/>
    </row>
    <row r="151">
      <c r="A151" s="60"/>
    </row>
    <row r="152">
      <c r="A152" s="60"/>
    </row>
    <row r="153">
      <c r="A153" s="60"/>
    </row>
    <row r="154">
      <c r="A154" s="60"/>
    </row>
    <row r="155">
      <c r="A155" s="60"/>
    </row>
    <row r="156">
      <c r="A156" s="60"/>
    </row>
    <row r="157">
      <c r="A157" s="60"/>
    </row>
    <row r="158">
      <c r="A158" s="60"/>
    </row>
    <row r="159">
      <c r="A159" s="60"/>
    </row>
    <row r="160">
      <c r="A160" s="60"/>
    </row>
    <row r="161">
      <c r="A161" s="60"/>
    </row>
    <row r="162">
      <c r="A162" s="60"/>
    </row>
    <row r="163">
      <c r="A163" s="60"/>
    </row>
    <row r="164">
      <c r="A164" s="60"/>
    </row>
    <row r="165">
      <c r="A165" s="60"/>
    </row>
    <row r="166">
      <c r="A166" s="60"/>
    </row>
    <row r="167">
      <c r="A167" s="60"/>
    </row>
    <row r="168">
      <c r="A168" s="60"/>
    </row>
    <row r="169">
      <c r="A169" s="60"/>
    </row>
    <row r="170">
      <c r="A170" s="60"/>
    </row>
    <row r="171">
      <c r="A171" s="60"/>
    </row>
    <row r="172">
      <c r="A172" s="60"/>
    </row>
    <row r="173">
      <c r="A173" s="60"/>
    </row>
    <row r="174">
      <c r="A174" s="60"/>
    </row>
    <row r="175">
      <c r="A175" s="60"/>
    </row>
    <row r="176">
      <c r="A176" s="60"/>
    </row>
    <row r="177">
      <c r="A177" s="60"/>
    </row>
    <row r="178">
      <c r="A178" s="60"/>
    </row>
    <row r="179">
      <c r="A179" s="60"/>
    </row>
    <row r="180">
      <c r="A180" s="60"/>
    </row>
    <row r="181">
      <c r="A181" s="60"/>
    </row>
    <row r="182">
      <c r="A182" s="60"/>
    </row>
    <row r="183">
      <c r="A183" s="60"/>
    </row>
    <row r="184">
      <c r="A184" s="60"/>
    </row>
    <row r="185">
      <c r="A185" s="60"/>
    </row>
    <row r="186">
      <c r="A186" s="60"/>
    </row>
    <row r="187">
      <c r="A187" s="60"/>
    </row>
    <row r="188">
      <c r="A188" s="60"/>
    </row>
    <row r="189">
      <c r="A189" s="60"/>
    </row>
    <row r="190">
      <c r="A190" s="60"/>
    </row>
    <row r="191">
      <c r="A191" s="60"/>
    </row>
    <row r="192">
      <c r="A192" s="60"/>
    </row>
    <row r="193">
      <c r="A193" s="60"/>
    </row>
    <row r="194">
      <c r="A194" s="60"/>
    </row>
    <row r="195">
      <c r="A195" s="60"/>
    </row>
    <row r="196">
      <c r="A196" s="60"/>
    </row>
    <row r="197">
      <c r="A197" s="60"/>
    </row>
    <row r="198">
      <c r="A198" s="60"/>
    </row>
    <row r="199">
      <c r="A199" s="60"/>
    </row>
    <row r="200">
      <c r="A200" s="60"/>
    </row>
    <row r="201">
      <c r="A201" s="60"/>
    </row>
    <row r="202">
      <c r="A202" s="60"/>
    </row>
    <row r="203">
      <c r="A203" s="60"/>
    </row>
    <row r="204">
      <c r="A204" s="60"/>
    </row>
    <row r="205">
      <c r="A205" s="60"/>
    </row>
    <row r="206">
      <c r="A206" s="60"/>
    </row>
    <row r="207">
      <c r="A207" s="60"/>
    </row>
    <row r="208">
      <c r="A208" s="60"/>
    </row>
    <row r="209">
      <c r="A209" s="60"/>
    </row>
    <row r="210">
      <c r="A210" s="60"/>
    </row>
    <row r="211">
      <c r="A211" s="60"/>
    </row>
    <row r="212">
      <c r="A212" s="60"/>
    </row>
    <row r="213">
      <c r="A213" s="60"/>
    </row>
    <row r="214">
      <c r="A214" s="60"/>
    </row>
    <row r="215">
      <c r="A215" s="60"/>
    </row>
    <row r="216">
      <c r="A216" s="60"/>
    </row>
    <row r="217">
      <c r="A217" s="60"/>
    </row>
    <row r="218">
      <c r="A218" s="60"/>
    </row>
    <row r="219">
      <c r="A219" s="60"/>
    </row>
    <row r="220">
      <c r="A220" s="60"/>
    </row>
    <row r="221">
      <c r="A221" s="60"/>
    </row>
    <row r="222">
      <c r="A222" s="60"/>
    </row>
    <row r="223">
      <c r="A223" s="60"/>
    </row>
    <row r="224">
      <c r="A224" s="60"/>
    </row>
    <row r="225">
      <c r="A225" s="60"/>
    </row>
    <row r="226">
      <c r="A226" s="60"/>
    </row>
    <row r="227">
      <c r="A227" s="60"/>
    </row>
    <row r="228">
      <c r="A228" s="60"/>
    </row>
    <row r="229">
      <c r="A229" s="60"/>
    </row>
    <row r="230">
      <c r="A230" s="60"/>
    </row>
    <row r="231">
      <c r="A231" s="60"/>
    </row>
    <row r="232">
      <c r="A232" s="60"/>
    </row>
    <row r="233">
      <c r="A233" s="60"/>
    </row>
    <row r="234">
      <c r="A234" s="60"/>
    </row>
    <row r="235">
      <c r="A235" s="60"/>
    </row>
    <row r="236">
      <c r="A236" s="60"/>
    </row>
    <row r="237">
      <c r="A237" s="60"/>
    </row>
    <row r="238">
      <c r="A238" s="60"/>
    </row>
    <row r="239">
      <c r="A239" s="60"/>
    </row>
    <row r="240">
      <c r="A240" s="60"/>
    </row>
    <row r="241">
      <c r="A241" s="60"/>
    </row>
    <row r="242">
      <c r="A242" s="60"/>
    </row>
    <row r="243">
      <c r="A243" s="60"/>
    </row>
    <row r="244">
      <c r="A244" s="60"/>
    </row>
    <row r="245">
      <c r="A245" s="60"/>
    </row>
    <row r="246">
      <c r="A246" s="60"/>
    </row>
    <row r="247">
      <c r="A247" s="60"/>
    </row>
    <row r="248">
      <c r="A248" s="60"/>
    </row>
    <row r="249">
      <c r="A249" s="60"/>
    </row>
    <row r="250">
      <c r="A250" s="60"/>
    </row>
    <row r="251">
      <c r="A251" s="60"/>
    </row>
    <row r="252">
      <c r="A252" s="60"/>
    </row>
    <row r="253">
      <c r="A253" s="60"/>
    </row>
    <row r="254">
      <c r="A254" s="60"/>
    </row>
    <row r="255">
      <c r="A255" s="60"/>
    </row>
    <row r="256">
      <c r="A256" s="60"/>
    </row>
    <row r="257">
      <c r="A257" s="60"/>
    </row>
    <row r="258">
      <c r="A258" s="60"/>
    </row>
    <row r="259">
      <c r="A259" s="60"/>
    </row>
    <row r="260">
      <c r="A260" s="60"/>
    </row>
    <row r="261">
      <c r="A261" s="60"/>
    </row>
    <row r="262">
      <c r="A262" s="60"/>
    </row>
    <row r="263">
      <c r="A263" s="60"/>
    </row>
    <row r="264">
      <c r="A264" s="60"/>
    </row>
    <row r="265">
      <c r="A265" s="60"/>
    </row>
    <row r="266">
      <c r="A266" s="60"/>
    </row>
    <row r="267">
      <c r="A267" s="60"/>
    </row>
    <row r="268">
      <c r="A268" s="60"/>
    </row>
    <row r="269">
      <c r="A269" s="60"/>
    </row>
    <row r="270">
      <c r="A270" s="60"/>
    </row>
    <row r="271">
      <c r="A271" s="60"/>
    </row>
    <row r="272">
      <c r="A272" s="60"/>
    </row>
    <row r="273">
      <c r="A273" s="60"/>
    </row>
    <row r="274">
      <c r="A274" s="60"/>
    </row>
    <row r="275">
      <c r="A275" s="60"/>
    </row>
    <row r="276">
      <c r="A276" s="60"/>
    </row>
    <row r="277">
      <c r="A277" s="60"/>
    </row>
    <row r="278">
      <c r="A278" s="60"/>
    </row>
    <row r="279">
      <c r="A279" s="60"/>
    </row>
    <row r="280">
      <c r="A280" s="60"/>
    </row>
    <row r="281">
      <c r="A281" s="60"/>
    </row>
    <row r="282">
      <c r="A282" s="60"/>
    </row>
    <row r="283">
      <c r="A283" s="60"/>
    </row>
    <row r="284">
      <c r="A284" s="60"/>
    </row>
    <row r="285">
      <c r="A285" s="60"/>
    </row>
    <row r="286">
      <c r="A286" s="60"/>
    </row>
    <row r="287">
      <c r="A287" s="60"/>
    </row>
    <row r="288">
      <c r="A288" s="60"/>
    </row>
    <row r="289">
      <c r="A289" s="60"/>
    </row>
    <row r="290">
      <c r="A290" s="60"/>
    </row>
    <row r="291">
      <c r="A291" s="60"/>
    </row>
    <row r="292">
      <c r="A292" s="60"/>
    </row>
    <row r="293">
      <c r="A293" s="60"/>
    </row>
    <row r="294">
      <c r="A294" s="60"/>
    </row>
    <row r="295">
      <c r="A295" s="60"/>
    </row>
    <row r="296">
      <c r="A296" s="60"/>
    </row>
    <row r="297">
      <c r="A297" s="60"/>
    </row>
    <row r="298">
      <c r="A298" s="60"/>
    </row>
    <row r="299">
      <c r="A299" s="60"/>
    </row>
    <row r="300">
      <c r="A300" s="60"/>
    </row>
    <row r="301">
      <c r="A301" s="60"/>
    </row>
    <row r="302">
      <c r="A302" s="60"/>
    </row>
    <row r="303">
      <c r="A303" s="60"/>
    </row>
    <row r="304">
      <c r="A304" s="60"/>
    </row>
    <row r="305">
      <c r="A305" s="60"/>
    </row>
    <row r="306">
      <c r="A306" s="60"/>
    </row>
    <row r="307">
      <c r="A307" s="60"/>
    </row>
    <row r="308">
      <c r="A308" s="60"/>
    </row>
    <row r="309">
      <c r="A309" s="60"/>
    </row>
    <row r="310">
      <c r="A310" s="60"/>
    </row>
    <row r="311">
      <c r="A311" s="60"/>
    </row>
    <row r="312">
      <c r="A312" s="60"/>
    </row>
    <row r="313">
      <c r="A313" s="60"/>
    </row>
    <row r="314">
      <c r="A314" s="60"/>
    </row>
    <row r="315">
      <c r="A315" s="60"/>
    </row>
    <row r="316">
      <c r="A316" s="60"/>
    </row>
    <row r="317">
      <c r="A317" s="60"/>
    </row>
    <row r="318">
      <c r="A318" s="60"/>
    </row>
    <row r="319">
      <c r="A319" s="60"/>
    </row>
    <row r="320">
      <c r="A320" s="60"/>
    </row>
    <row r="321">
      <c r="A321" s="60"/>
    </row>
    <row r="322">
      <c r="A322" s="60"/>
    </row>
    <row r="323">
      <c r="A323" s="60"/>
    </row>
    <row r="324">
      <c r="A324" s="60"/>
    </row>
    <row r="325">
      <c r="A325" s="60"/>
    </row>
    <row r="326">
      <c r="A326" s="60"/>
    </row>
    <row r="327">
      <c r="A327" s="60"/>
    </row>
    <row r="328">
      <c r="A328" s="60"/>
    </row>
    <row r="329">
      <c r="A329" s="60"/>
    </row>
    <row r="330">
      <c r="A330" s="60"/>
    </row>
    <row r="331">
      <c r="A331" s="60"/>
    </row>
    <row r="332">
      <c r="A332" s="60"/>
    </row>
    <row r="333">
      <c r="A333" s="60"/>
    </row>
    <row r="334">
      <c r="A334" s="60"/>
    </row>
    <row r="335">
      <c r="A335" s="60"/>
    </row>
    <row r="336">
      <c r="A336" s="60"/>
    </row>
    <row r="337">
      <c r="A337" s="60"/>
    </row>
    <row r="338">
      <c r="A338" s="60"/>
    </row>
    <row r="339">
      <c r="A339" s="60"/>
    </row>
    <row r="340">
      <c r="A340" s="60"/>
    </row>
    <row r="341">
      <c r="A341" s="60"/>
    </row>
    <row r="342">
      <c r="A342" s="60"/>
    </row>
    <row r="343">
      <c r="A343" s="60"/>
    </row>
    <row r="344">
      <c r="A344" s="60"/>
    </row>
    <row r="345">
      <c r="A345" s="60"/>
    </row>
    <row r="346">
      <c r="A346" s="60"/>
    </row>
    <row r="347">
      <c r="A347" s="60"/>
    </row>
    <row r="348">
      <c r="A348" s="60"/>
    </row>
    <row r="349">
      <c r="A349" s="60"/>
    </row>
    <row r="350">
      <c r="A350" s="60"/>
    </row>
    <row r="351">
      <c r="A351" s="60"/>
    </row>
    <row r="352">
      <c r="A352" s="60"/>
    </row>
    <row r="353">
      <c r="A353" s="60"/>
    </row>
    <row r="354">
      <c r="A354" s="60"/>
    </row>
    <row r="355">
      <c r="A355" s="60"/>
    </row>
    <row r="356">
      <c r="A356" s="60"/>
    </row>
    <row r="357">
      <c r="A357" s="60"/>
    </row>
    <row r="358">
      <c r="A358" s="60"/>
    </row>
    <row r="359">
      <c r="A359" s="60"/>
    </row>
    <row r="360">
      <c r="A360" s="60"/>
    </row>
    <row r="361">
      <c r="A361" s="60"/>
    </row>
    <row r="362">
      <c r="A362" s="60"/>
    </row>
    <row r="363">
      <c r="A363" s="60"/>
    </row>
    <row r="364">
      <c r="A364" s="60"/>
    </row>
    <row r="365">
      <c r="A365" s="60"/>
    </row>
    <row r="366">
      <c r="A366" s="60"/>
    </row>
    <row r="367">
      <c r="A367" s="60"/>
    </row>
    <row r="368">
      <c r="A368" s="60"/>
    </row>
    <row r="369">
      <c r="A369" s="60"/>
    </row>
    <row r="370">
      <c r="A370" s="60"/>
    </row>
    <row r="371">
      <c r="A371" s="60"/>
    </row>
    <row r="372">
      <c r="A372" s="60"/>
    </row>
    <row r="373">
      <c r="A373" s="60"/>
    </row>
    <row r="374">
      <c r="A374" s="60"/>
    </row>
    <row r="375">
      <c r="A375" s="60"/>
    </row>
    <row r="376">
      <c r="A376" s="60"/>
    </row>
    <row r="377">
      <c r="A377" s="60"/>
    </row>
    <row r="378">
      <c r="A378" s="60"/>
    </row>
    <row r="379">
      <c r="A379" s="60"/>
    </row>
    <row r="380">
      <c r="A380" s="60"/>
    </row>
    <row r="381">
      <c r="A381" s="60"/>
    </row>
    <row r="382">
      <c r="A382" s="60"/>
    </row>
    <row r="383">
      <c r="A383" s="60"/>
    </row>
    <row r="384">
      <c r="A384" s="60"/>
    </row>
    <row r="385">
      <c r="A385" s="60"/>
    </row>
    <row r="386">
      <c r="A386" s="60"/>
    </row>
    <row r="387">
      <c r="A387" s="60"/>
    </row>
    <row r="388">
      <c r="A388" s="60"/>
    </row>
    <row r="389">
      <c r="A389" s="60"/>
    </row>
    <row r="390">
      <c r="A390" s="60"/>
    </row>
    <row r="391">
      <c r="A391" s="60"/>
    </row>
    <row r="392">
      <c r="A392" s="60"/>
    </row>
    <row r="393">
      <c r="A393" s="60"/>
    </row>
    <row r="394">
      <c r="A394" s="60"/>
    </row>
    <row r="395">
      <c r="A395" s="60"/>
    </row>
    <row r="396">
      <c r="A396" s="60"/>
    </row>
    <row r="397">
      <c r="A397" s="60"/>
    </row>
    <row r="398">
      <c r="A398" s="60"/>
    </row>
    <row r="399">
      <c r="A399" s="60"/>
    </row>
    <row r="400">
      <c r="A400" s="60"/>
    </row>
    <row r="401">
      <c r="A401" s="60"/>
    </row>
    <row r="402">
      <c r="A402" s="60"/>
    </row>
    <row r="403">
      <c r="A403" s="60"/>
    </row>
    <row r="404">
      <c r="A404" s="60"/>
    </row>
    <row r="405">
      <c r="A405" s="60"/>
    </row>
    <row r="406">
      <c r="A406" s="60"/>
    </row>
    <row r="407">
      <c r="A407" s="60"/>
    </row>
    <row r="408">
      <c r="A408" s="60"/>
    </row>
    <row r="409">
      <c r="A409" s="60"/>
    </row>
    <row r="410">
      <c r="A410" s="60"/>
    </row>
    <row r="411">
      <c r="A411" s="60"/>
    </row>
    <row r="412">
      <c r="A412" s="60"/>
    </row>
    <row r="413">
      <c r="A413" s="60"/>
    </row>
    <row r="414">
      <c r="A414" s="60"/>
    </row>
    <row r="415">
      <c r="A415" s="60"/>
    </row>
    <row r="416">
      <c r="A416" s="60"/>
    </row>
    <row r="417">
      <c r="A417" s="60"/>
    </row>
    <row r="418">
      <c r="A418" s="60"/>
    </row>
    <row r="419">
      <c r="A419" s="60"/>
    </row>
    <row r="420">
      <c r="A420" s="60"/>
    </row>
    <row r="421">
      <c r="A421" s="60"/>
    </row>
    <row r="422">
      <c r="A422" s="60"/>
    </row>
    <row r="423">
      <c r="A423" s="60"/>
    </row>
    <row r="424">
      <c r="A424" s="60"/>
    </row>
    <row r="425">
      <c r="A425" s="60"/>
    </row>
    <row r="426">
      <c r="A426" s="60"/>
    </row>
    <row r="427">
      <c r="A427" s="60"/>
    </row>
    <row r="428">
      <c r="A428" s="60"/>
    </row>
    <row r="429">
      <c r="A429" s="60"/>
    </row>
    <row r="430">
      <c r="A430" s="60"/>
    </row>
    <row r="431">
      <c r="A431" s="60"/>
    </row>
    <row r="432">
      <c r="A432" s="60"/>
    </row>
    <row r="433">
      <c r="A433" s="60"/>
    </row>
    <row r="434">
      <c r="A434" s="60"/>
    </row>
    <row r="435">
      <c r="A435" s="60"/>
    </row>
    <row r="436">
      <c r="A436" s="60"/>
    </row>
    <row r="437">
      <c r="A437" s="60"/>
    </row>
    <row r="438">
      <c r="A438" s="60"/>
    </row>
    <row r="439">
      <c r="A439" s="60"/>
    </row>
    <row r="440">
      <c r="A440" s="60"/>
    </row>
    <row r="441">
      <c r="A441" s="60"/>
    </row>
    <row r="442">
      <c r="A442" s="60"/>
    </row>
    <row r="443">
      <c r="A443" s="60"/>
    </row>
    <row r="444">
      <c r="A444" s="60"/>
    </row>
    <row r="445">
      <c r="A445" s="60"/>
    </row>
    <row r="446">
      <c r="A446" s="60"/>
    </row>
    <row r="447">
      <c r="A447" s="60"/>
    </row>
    <row r="448">
      <c r="A448" s="60"/>
    </row>
    <row r="449">
      <c r="A449" s="60"/>
    </row>
    <row r="450">
      <c r="A450" s="60"/>
    </row>
    <row r="451">
      <c r="A451" s="60"/>
    </row>
    <row r="452">
      <c r="A452" s="60"/>
    </row>
    <row r="453">
      <c r="A453" s="60"/>
    </row>
    <row r="454">
      <c r="A454" s="60"/>
    </row>
    <row r="455">
      <c r="A455" s="60"/>
    </row>
    <row r="456">
      <c r="A456" s="60"/>
    </row>
    <row r="457">
      <c r="A457" s="60"/>
    </row>
    <row r="458">
      <c r="A458" s="60"/>
    </row>
    <row r="459">
      <c r="A459" s="60"/>
    </row>
    <row r="460">
      <c r="A460" s="60"/>
    </row>
    <row r="461">
      <c r="A461" s="60"/>
    </row>
    <row r="462">
      <c r="A462" s="60"/>
    </row>
    <row r="463">
      <c r="A463" s="60"/>
    </row>
    <row r="464">
      <c r="A464" s="60"/>
    </row>
    <row r="465">
      <c r="A465" s="60"/>
    </row>
    <row r="466">
      <c r="A466" s="60"/>
    </row>
    <row r="467">
      <c r="A467" s="60"/>
    </row>
    <row r="468">
      <c r="A468" s="60"/>
    </row>
    <row r="469">
      <c r="A469" s="60"/>
    </row>
    <row r="470">
      <c r="A470" s="60"/>
    </row>
    <row r="471">
      <c r="A471" s="60"/>
    </row>
    <row r="472">
      <c r="A472" s="60"/>
    </row>
    <row r="473">
      <c r="A473" s="60"/>
    </row>
    <row r="474">
      <c r="A474" s="60"/>
    </row>
    <row r="475">
      <c r="A475" s="60"/>
    </row>
    <row r="476">
      <c r="A476" s="60"/>
    </row>
    <row r="477">
      <c r="A477" s="60"/>
    </row>
    <row r="478">
      <c r="A478" s="60"/>
    </row>
    <row r="479">
      <c r="A479" s="60"/>
    </row>
    <row r="480">
      <c r="A480" s="60"/>
    </row>
    <row r="481">
      <c r="A481" s="60"/>
    </row>
    <row r="482">
      <c r="A482" s="60"/>
    </row>
    <row r="483">
      <c r="A483" s="60"/>
    </row>
    <row r="484">
      <c r="A484" s="60"/>
    </row>
    <row r="485">
      <c r="A485" s="60"/>
    </row>
    <row r="486">
      <c r="A486" s="60"/>
    </row>
    <row r="487">
      <c r="A487" s="60"/>
    </row>
    <row r="488">
      <c r="A488" s="60"/>
    </row>
    <row r="489">
      <c r="A489" s="60"/>
    </row>
    <row r="490">
      <c r="A490" s="60"/>
    </row>
    <row r="491">
      <c r="A491" s="60"/>
    </row>
    <row r="492">
      <c r="A492" s="60"/>
    </row>
    <row r="493">
      <c r="A493" s="60"/>
    </row>
    <row r="494">
      <c r="A494" s="60"/>
    </row>
    <row r="495">
      <c r="A495" s="60"/>
    </row>
    <row r="496">
      <c r="A496" s="60"/>
    </row>
    <row r="497">
      <c r="A497" s="60"/>
    </row>
    <row r="498">
      <c r="A498" s="60"/>
    </row>
    <row r="499">
      <c r="A499" s="60"/>
    </row>
    <row r="500">
      <c r="A500" s="60"/>
    </row>
    <row r="501">
      <c r="A501" s="60"/>
    </row>
    <row r="502">
      <c r="A502" s="60"/>
    </row>
    <row r="503">
      <c r="A503" s="60"/>
    </row>
    <row r="504">
      <c r="A504" s="60"/>
    </row>
    <row r="505">
      <c r="A505" s="60"/>
    </row>
    <row r="506">
      <c r="A506" s="60"/>
    </row>
    <row r="507">
      <c r="A507" s="60"/>
    </row>
    <row r="508">
      <c r="A508" s="60"/>
    </row>
    <row r="509">
      <c r="A509" s="60"/>
    </row>
    <row r="510">
      <c r="A510" s="60"/>
    </row>
    <row r="511">
      <c r="A511" s="60"/>
    </row>
    <row r="512">
      <c r="A512" s="60"/>
    </row>
    <row r="513">
      <c r="A513" s="60"/>
    </row>
    <row r="514">
      <c r="A514" s="60"/>
    </row>
    <row r="515">
      <c r="A515" s="60"/>
    </row>
    <row r="516">
      <c r="A516" s="60"/>
    </row>
    <row r="517">
      <c r="A517" s="60"/>
    </row>
    <row r="518">
      <c r="A518" s="60"/>
    </row>
    <row r="519">
      <c r="A519" s="60"/>
    </row>
    <row r="520">
      <c r="A520" s="60"/>
    </row>
    <row r="521">
      <c r="A521" s="60"/>
    </row>
    <row r="522">
      <c r="A522" s="60"/>
    </row>
    <row r="523">
      <c r="A523" s="60"/>
    </row>
    <row r="524">
      <c r="A524" s="60"/>
    </row>
    <row r="525">
      <c r="A525" s="60"/>
    </row>
    <row r="526">
      <c r="A526" s="60"/>
    </row>
    <row r="527">
      <c r="A527" s="60"/>
    </row>
    <row r="528">
      <c r="A528" s="60"/>
    </row>
    <row r="529">
      <c r="A529" s="60"/>
    </row>
    <row r="530">
      <c r="A530" s="60"/>
    </row>
    <row r="531">
      <c r="A531" s="60"/>
    </row>
    <row r="532">
      <c r="A532" s="60"/>
    </row>
    <row r="533">
      <c r="A533" s="60"/>
    </row>
    <row r="534">
      <c r="A534" s="60"/>
    </row>
    <row r="535">
      <c r="A535" s="60"/>
    </row>
    <row r="536">
      <c r="A536" s="60"/>
    </row>
    <row r="537">
      <c r="A537" s="60"/>
    </row>
    <row r="538">
      <c r="A538" s="60"/>
    </row>
    <row r="539">
      <c r="A539" s="60"/>
    </row>
    <row r="540">
      <c r="A540" s="60"/>
    </row>
    <row r="541">
      <c r="A541" s="60"/>
    </row>
    <row r="542">
      <c r="A542" s="60"/>
    </row>
    <row r="543">
      <c r="A543" s="60"/>
    </row>
    <row r="544">
      <c r="A544" s="60"/>
    </row>
    <row r="545">
      <c r="A545" s="60"/>
    </row>
    <row r="546">
      <c r="A546" s="60"/>
    </row>
    <row r="547">
      <c r="A547" s="60"/>
    </row>
    <row r="548">
      <c r="A548" s="60"/>
    </row>
    <row r="549">
      <c r="A549" s="60"/>
    </row>
    <row r="550">
      <c r="A550" s="60"/>
    </row>
    <row r="551">
      <c r="A551" s="60"/>
    </row>
    <row r="552">
      <c r="A552" s="60"/>
    </row>
    <row r="553">
      <c r="A553" s="60"/>
    </row>
    <row r="554">
      <c r="A554" s="60"/>
    </row>
    <row r="555">
      <c r="A555" s="60"/>
    </row>
    <row r="556">
      <c r="A556" s="60"/>
    </row>
    <row r="557">
      <c r="A557" s="60"/>
    </row>
    <row r="558">
      <c r="A558" s="60"/>
    </row>
    <row r="559">
      <c r="A559" s="60"/>
    </row>
    <row r="560">
      <c r="A560" s="60"/>
    </row>
    <row r="561">
      <c r="A561" s="60"/>
    </row>
    <row r="562">
      <c r="A562" s="60"/>
    </row>
    <row r="563">
      <c r="A563" s="60"/>
    </row>
    <row r="564">
      <c r="A564" s="60"/>
    </row>
    <row r="565">
      <c r="A565" s="60"/>
    </row>
    <row r="566">
      <c r="A566" s="60"/>
    </row>
    <row r="567">
      <c r="A567" s="60"/>
    </row>
    <row r="568">
      <c r="A568" s="60"/>
    </row>
    <row r="569">
      <c r="A569" s="60"/>
    </row>
    <row r="570">
      <c r="A570" s="60"/>
    </row>
    <row r="571">
      <c r="A571" s="60"/>
    </row>
    <row r="572">
      <c r="A572" s="60"/>
    </row>
    <row r="573">
      <c r="A573" s="60"/>
    </row>
    <row r="574">
      <c r="A574" s="60"/>
    </row>
    <row r="575">
      <c r="A575" s="60"/>
    </row>
    <row r="576">
      <c r="A576" s="60"/>
    </row>
    <row r="577">
      <c r="A577" s="60"/>
    </row>
    <row r="578">
      <c r="A578" s="60"/>
    </row>
    <row r="579">
      <c r="A579" s="60"/>
    </row>
    <row r="580">
      <c r="A580" s="60"/>
    </row>
    <row r="581">
      <c r="A581" s="60"/>
    </row>
    <row r="582">
      <c r="A582" s="60"/>
    </row>
    <row r="583">
      <c r="A583" s="60"/>
    </row>
    <row r="584">
      <c r="A584" s="60"/>
    </row>
    <row r="585">
      <c r="A585" s="60"/>
    </row>
    <row r="586">
      <c r="A586" s="60"/>
    </row>
    <row r="587">
      <c r="A587" s="60"/>
    </row>
    <row r="588">
      <c r="A588" s="60"/>
    </row>
    <row r="589">
      <c r="A589" s="60"/>
    </row>
    <row r="590">
      <c r="A590" s="60"/>
    </row>
    <row r="591">
      <c r="A591" s="60"/>
    </row>
    <row r="592">
      <c r="A592" s="60"/>
    </row>
    <row r="593">
      <c r="A593" s="60"/>
    </row>
    <row r="594">
      <c r="A594" s="60"/>
    </row>
    <row r="595">
      <c r="A595" s="60"/>
    </row>
    <row r="596">
      <c r="A596" s="60"/>
    </row>
    <row r="597">
      <c r="A597" s="60"/>
    </row>
    <row r="598">
      <c r="A598" s="60"/>
    </row>
    <row r="599">
      <c r="A599" s="60"/>
    </row>
    <row r="600">
      <c r="A600" s="60"/>
    </row>
    <row r="601">
      <c r="A601" s="60"/>
    </row>
    <row r="602">
      <c r="A602" s="60"/>
    </row>
    <row r="603">
      <c r="A603" s="60"/>
    </row>
    <row r="604">
      <c r="A604" s="60"/>
    </row>
    <row r="605">
      <c r="A605" s="60"/>
    </row>
    <row r="606">
      <c r="A606" s="60"/>
    </row>
    <row r="607">
      <c r="A607" s="60"/>
    </row>
    <row r="608">
      <c r="A608" s="60"/>
    </row>
    <row r="609">
      <c r="A609" s="60"/>
    </row>
    <row r="610">
      <c r="A610" s="60"/>
    </row>
    <row r="611">
      <c r="A611" s="60"/>
    </row>
    <row r="612">
      <c r="A612" s="60"/>
    </row>
    <row r="613">
      <c r="A613" s="60"/>
    </row>
    <row r="614">
      <c r="A614" s="60"/>
    </row>
    <row r="615">
      <c r="A615" s="60"/>
    </row>
    <row r="616">
      <c r="A616" s="60"/>
    </row>
    <row r="617">
      <c r="A617" s="60"/>
    </row>
    <row r="618">
      <c r="A618" s="60"/>
    </row>
    <row r="619">
      <c r="A619" s="60"/>
    </row>
    <row r="620">
      <c r="A620" s="60"/>
    </row>
    <row r="621">
      <c r="A621" s="60"/>
    </row>
    <row r="622">
      <c r="A622" s="60"/>
    </row>
    <row r="623">
      <c r="A623" s="60"/>
    </row>
    <row r="624">
      <c r="A624" s="60"/>
    </row>
    <row r="625">
      <c r="A625" s="60"/>
    </row>
    <row r="626">
      <c r="A626" s="60"/>
    </row>
    <row r="627">
      <c r="A627" s="60"/>
    </row>
    <row r="628">
      <c r="A628" s="60"/>
    </row>
    <row r="629">
      <c r="A629" s="60"/>
    </row>
    <row r="630">
      <c r="A630" s="60"/>
    </row>
    <row r="631">
      <c r="A631" s="60"/>
    </row>
    <row r="632">
      <c r="A632" s="60"/>
    </row>
    <row r="633">
      <c r="A633" s="60"/>
    </row>
    <row r="634">
      <c r="A634" s="60"/>
    </row>
    <row r="635">
      <c r="A635" s="60"/>
    </row>
    <row r="636">
      <c r="A636" s="60"/>
    </row>
    <row r="637">
      <c r="A637" s="60"/>
    </row>
    <row r="638">
      <c r="A638" s="60"/>
    </row>
    <row r="639">
      <c r="A639" s="60"/>
    </row>
    <row r="640">
      <c r="A640" s="60"/>
    </row>
    <row r="641">
      <c r="A641" s="60"/>
    </row>
    <row r="642">
      <c r="A642" s="60"/>
    </row>
    <row r="643">
      <c r="A643" s="60"/>
    </row>
    <row r="644">
      <c r="A644" s="60"/>
    </row>
    <row r="645">
      <c r="A645" s="60"/>
    </row>
    <row r="646">
      <c r="A646" s="60"/>
    </row>
    <row r="647">
      <c r="A647" s="60"/>
    </row>
    <row r="648">
      <c r="A648" s="60"/>
    </row>
    <row r="649">
      <c r="A649" s="60"/>
    </row>
    <row r="650">
      <c r="A650" s="60"/>
    </row>
    <row r="651">
      <c r="A651" s="60"/>
    </row>
    <row r="652">
      <c r="A652" s="60"/>
    </row>
    <row r="653">
      <c r="A653" s="60"/>
    </row>
    <row r="654">
      <c r="A654" s="60"/>
    </row>
    <row r="655">
      <c r="A655" s="60"/>
    </row>
    <row r="656">
      <c r="A656" s="60"/>
    </row>
    <row r="657">
      <c r="A657" s="60"/>
    </row>
    <row r="658">
      <c r="A658" s="60"/>
    </row>
    <row r="659">
      <c r="A659" s="60"/>
    </row>
    <row r="660">
      <c r="A660" s="60"/>
    </row>
    <row r="661">
      <c r="A661" s="60"/>
    </row>
    <row r="662">
      <c r="A662" s="60"/>
    </row>
    <row r="663">
      <c r="A663" s="60"/>
    </row>
    <row r="664">
      <c r="A664" s="60"/>
    </row>
    <row r="665">
      <c r="A665" s="60"/>
    </row>
    <row r="666">
      <c r="A666" s="60"/>
    </row>
    <row r="667">
      <c r="A667" s="60"/>
    </row>
    <row r="668">
      <c r="A668" s="60"/>
    </row>
    <row r="669">
      <c r="A669" s="60"/>
    </row>
    <row r="670">
      <c r="A670" s="60"/>
    </row>
    <row r="671">
      <c r="A671" s="60"/>
    </row>
    <row r="672">
      <c r="A672" s="60"/>
    </row>
    <row r="673">
      <c r="A673" s="60"/>
    </row>
    <row r="674">
      <c r="A674" s="60"/>
    </row>
    <row r="675">
      <c r="A675" s="60"/>
    </row>
    <row r="676">
      <c r="A676" s="60"/>
    </row>
    <row r="677">
      <c r="A677" s="60"/>
    </row>
    <row r="678">
      <c r="A678" s="60"/>
    </row>
    <row r="679">
      <c r="A679" s="60"/>
    </row>
    <row r="680">
      <c r="A680" s="60"/>
    </row>
    <row r="681">
      <c r="A681" s="60"/>
    </row>
    <row r="682">
      <c r="A682" s="60"/>
    </row>
    <row r="683">
      <c r="A683" s="60"/>
    </row>
    <row r="684">
      <c r="A684" s="60"/>
    </row>
    <row r="685">
      <c r="A685" s="60"/>
    </row>
    <row r="686">
      <c r="A686" s="60"/>
    </row>
    <row r="687">
      <c r="A687" s="60"/>
    </row>
    <row r="688">
      <c r="A688" s="60"/>
    </row>
    <row r="689">
      <c r="A689" s="60"/>
    </row>
    <row r="690">
      <c r="A690" s="60"/>
    </row>
    <row r="691">
      <c r="A691" s="60"/>
    </row>
    <row r="692">
      <c r="A692" s="60"/>
    </row>
    <row r="693">
      <c r="A693" s="60"/>
    </row>
    <row r="694">
      <c r="A694" s="60"/>
    </row>
    <row r="695">
      <c r="A695" s="60"/>
    </row>
    <row r="696">
      <c r="A696" s="60"/>
    </row>
    <row r="697">
      <c r="A697" s="60"/>
    </row>
    <row r="698">
      <c r="A698" s="60"/>
    </row>
    <row r="699">
      <c r="A699" s="60"/>
    </row>
    <row r="700">
      <c r="A700" s="60"/>
    </row>
    <row r="701">
      <c r="A701" s="60"/>
    </row>
    <row r="702">
      <c r="A702" s="60"/>
    </row>
    <row r="703">
      <c r="A703" s="60"/>
    </row>
    <row r="704">
      <c r="A704" s="60"/>
    </row>
    <row r="705">
      <c r="A705" s="60"/>
    </row>
    <row r="706">
      <c r="A706" s="60"/>
    </row>
    <row r="707">
      <c r="A707" s="60"/>
    </row>
    <row r="708">
      <c r="A708" s="60"/>
    </row>
    <row r="709">
      <c r="A709" s="60"/>
    </row>
    <row r="710">
      <c r="A710" s="60"/>
    </row>
    <row r="711">
      <c r="A711" s="60"/>
    </row>
    <row r="712">
      <c r="A712" s="60"/>
    </row>
    <row r="713">
      <c r="A713" s="60"/>
    </row>
    <row r="714">
      <c r="A714" s="60"/>
    </row>
    <row r="715">
      <c r="A715" s="60"/>
    </row>
    <row r="716">
      <c r="A716" s="60"/>
    </row>
    <row r="717">
      <c r="A717" s="60"/>
    </row>
    <row r="718">
      <c r="A718" s="60"/>
    </row>
    <row r="719">
      <c r="A719" s="60"/>
    </row>
    <row r="720">
      <c r="A720" s="60"/>
    </row>
    <row r="721">
      <c r="A721" s="60"/>
    </row>
    <row r="722">
      <c r="A722" s="60"/>
    </row>
    <row r="723">
      <c r="A723" s="60"/>
    </row>
    <row r="724">
      <c r="A724" s="60"/>
    </row>
    <row r="725">
      <c r="A725" s="60"/>
    </row>
    <row r="726">
      <c r="A726" s="60"/>
    </row>
    <row r="727">
      <c r="A727" s="60"/>
    </row>
    <row r="728">
      <c r="A728" s="60"/>
    </row>
    <row r="729">
      <c r="A729" s="60"/>
    </row>
    <row r="730">
      <c r="A730" s="60"/>
    </row>
    <row r="731">
      <c r="A731" s="60"/>
    </row>
    <row r="732">
      <c r="A732" s="60"/>
    </row>
    <row r="733">
      <c r="A733" s="60"/>
    </row>
    <row r="734">
      <c r="A734" s="60"/>
    </row>
    <row r="735">
      <c r="A735" s="60"/>
    </row>
    <row r="736">
      <c r="A736" s="60"/>
    </row>
    <row r="737">
      <c r="A737" s="60"/>
    </row>
    <row r="738">
      <c r="A738" s="60"/>
    </row>
    <row r="739">
      <c r="A739" s="60"/>
    </row>
    <row r="740">
      <c r="A740" s="60"/>
    </row>
    <row r="741">
      <c r="A741" s="60"/>
    </row>
    <row r="742">
      <c r="A742" s="60"/>
    </row>
    <row r="743">
      <c r="A743" s="60"/>
    </row>
    <row r="744">
      <c r="A744" s="60"/>
    </row>
    <row r="745">
      <c r="A745" s="60"/>
    </row>
    <row r="746">
      <c r="A746" s="60"/>
    </row>
    <row r="747">
      <c r="A747" s="60"/>
    </row>
    <row r="748">
      <c r="A748" s="60"/>
    </row>
    <row r="749">
      <c r="A749" s="60"/>
    </row>
    <row r="750">
      <c r="A750" s="60"/>
    </row>
    <row r="751">
      <c r="A751" s="60"/>
    </row>
    <row r="752">
      <c r="A752" s="60"/>
    </row>
    <row r="753">
      <c r="A753" s="60"/>
    </row>
    <row r="754">
      <c r="A754" s="60"/>
    </row>
    <row r="755">
      <c r="A755" s="60"/>
    </row>
    <row r="756">
      <c r="A756" s="60"/>
    </row>
    <row r="757">
      <c r="A757" s="60"/>
    </row>
    <row r="758">
      <c r="A758" s="60"/>
    </row>
    <row r="759">
      <c r="A759" s="60"/>
    </row>
    <row r="760">
      <c r="A760" s="60"/>
    </row>
    <row r="761">
      <c r="A761" s="60"/>
    </row>
    <row r="762">
      <c r="A762" s="60"/>
    </row>
    <row r="763">
      <c r="A763" s="60"/>
    </row>
    <row r="764">
      <c r="A764" s="60"/>
    </row>
    <row r="765">
      <c r="A765" s="60"/>
    </row>
    <row r="766">
      <c r="A766" s="60"/>
    </row>
    <row r="767">
      <c r="A767" s="60"/>
    </row>
    <row r="768">
      <c r="A768" s="60"/>
    </row>
    <row r="769">
      <c r="A769" s="60"/>
    </row>
    <row r="770">
      <c r="A770" s="60"/>
    </row>
    <row r="771">
      <c r="A771" s="60"/>
    </row>
    <row r="772">
      <c r="A772" s="60"/>
    </row>
    <row r="773">
      <c r="A773" s="60"/>
    </row>
    <row r="774">
      <c r="A774" s="60"/>
    </row>
    <row r="775">
      <c r="A775" s="60"/>
    </row>
    <row r="776">
      <c r="A776" s="60"/>
    </row>
    <row r="777">
      <c r="A777" s="60"/>
    </row>
    <row r="778">
      <c r="A778" s="60"/>
    </row>
    <row r="779">
      <c r="A779" s="60"/>
    </row>
    <row r="780">
      <c r="A780" s="60"/>
    </row>
    <row r="781">
      <c r="A781" s="60"/>
    </row>
    <row r="782">
      <c r="A782" s="60"/>
    </row>
    <row r="783">
      <c r="A783" s="60"/>
    </row>
    <row r="784">
      <c r="A784" s="60"/>
    </row>
    <row r="785">
      <c r="A785" s="60"/>
    </row>
    <row r="786">
      <c r="A786" s="60"/>
    </row>
    <row r="787">
      <c r="A787" s="60"/>
    </row>
    <row r="788">
      <c r="A788" s="60"/>
    </row>
    <row r="789">
      <c r="A789" s="60"/>
    </row>
    <row r="790">
      <c r="A790" s="60"/>
    </row>
    <row r="791">
      <c r="A791" s="60"/>
    </row>
    <row r="792">
      <c r="A792" s="60"/>
    </row>
    <row r="793">
      <c r="A793" s="60"/>
    </row>
    <row r="794">
      <c r="A794" s="60"/>
    </row>
    <row r="795">
      <c r="A795" s="60"/>
    </row>
    <row r="796">
      <c r="A796" s="60"/>
    </row>
    <row r="797">
      <c r="A797" s="60"/>
    </row>
    <row r="798">
      <c r="A798" s="60"/>
    </row>
    <row r="799">
      <c r="A799" s="60"/>
    </row>
    <row r="800">
      <c r="A800" s="60"/>
    </row>
    <row r="801">
      <c r="A801" s="60"/>
    </row>
    <row r="802">
      <c r="A802" s="60"/>
    </row>
    <row r="803">
      <c r="A803" s="60"/>
    </row>
    <row r="804">
      <c r="A804" s="60"/>
    </row>
    <row r="805">
      <c r="A805" s="60"/>
    </row>
    <row r="806">
      <c r="A806" s="60"/>
    </row>
    <row r="807">
      <c r="A807" s="60"/>
    </row>
    <row r="808">
      <c r="A808" s="60"/>
    </row>
    <row r="809">
      <c r="A809" s="60"/>
    </row>
    <row r="810">
      <c r="A810" s="60"/>
    </row>
    <row r="811">
      <c r="A811" s="60"/>
    </row>
    <row r="812">
      <c r="A812" s="60"/>
    </row>
    <row r="813">
      <c r="A813" s="60"/>
    </row>
    <row r="814">
      <c r="A814" s="60"/>
    </row>
    <row r="815">
      <c r="A815" s="60"/>
    </row>
    <row r="816">
      <c r="A816" s="60"/>
    </row>
    <row r="817">
      <c r="A817" s="60"/>
    </row>
    <row r="818">
      <c r="A818" s="60"/>
    </row>
    <row r="819">
      <c r="A819" s="60"/>
    </row>
    <row r="820">
      <c r="A820" s="60"/>
    </row>
    <row r="821">
      <c r="A821" s="60"/>
    </row>
    <row r="822">
      <c r="A822" s="60"/>
    </row>
    <row r="823">
      <c r="A823" s="60"/>
    </row>
    <row r="824">
      <c r="A824" s="60"/>
    </row>
    <row r="825">
      <c r="A825" s="60"/>
    </row>
    <row r="826">
      <c r="A826" s="60"/>
    </row>
    <row r="827">
      <c r="A827" s="60"/>
    </row>
    <row r="828">
      <c r="A828" s="60"/>
    </row>
    <row r="829">
      <c r="A829" s="60"/>
    </row>
    <row r="830">
      <c r="A830" s="60"/>
    </row>
    <row r="831">
      <c r="A831" s="60"/>
    </row>
    <row r="832">
      <c r="A832" s="60"/>
    </row>
    <row r="833">
      <c r="A833" s="60"/>
    </row>
    <row r="834">
      <c r="A834" s="60"/>
    </row>
    <row r="835">
      <c r="A835" s="60"/>
    </row>
    <row r="836">
      <c r="A836" s="60"/>
    </row>
    <row r="837">
      <c r="A837" s="60"/>
    </row>
    <row r="838">
      <c r="A838" s="60"/>
    </row>
    <row r="839">
      <c r="A839" s="60"/>
    </row>
    <row r="840">
      <c r="A840" s="60"/>
    </row>
    <row r="841">
      <c r="A841" s="60"/>
    </row>
    <row r="842">
      <c r="A842" s="60"/>
    </row>
    <row r="843">
      <c r="A843" s="60"/>
    </row>
    <row r="844">
      <c r="A844" s="60"/>
    </row>
    <row r="845">
      <c r="A845" s="60"/>
    </row>
    <row r="846">
      <c r="A846" s="60"/>
    </row>
    <row r="847">
      <c r="A847" s="60"/>
    </row>
    <row r="848">
      <c r="A848" s="60"/>
    </row>
    <row r="849">
      <c r="A849" s="60"/>
    </row>
    <row r="850">
      <c r="A850" s="60"/>
    </row>
    <row r="851">
      <c r="A851" s="60"/>
    </row>
    <row r="852">
      <c r="A852" s="60"/>
    </row>
    <row r="853">
      <c r="A853" s="60"/>
    </row>
    <row r="854">
      <c r="A854" s="60"/>
    </row>
    <row r="855">
      <c r="A855" s="60"/>
    </row>
    <row r="856">
      <c r="A856" s="60"/>
    </row>
    <row r="857">
      <c r="A857" s="60"/>
    </row>
    <row r="858">
      <c r="A858" s="60"/>
    </row>
    <row r="859">
      <c r="A859" s="60"/>
    </row>
    <row r="860">
      <c r="A860" s="60"/>
    </row>
    <row r="861">
      <c r="A861" s="60"/>
    </row>
    <row r="862">
      <c r="A862" s="60"/>
    </row>
    <row r="863">
      <c r="A863" s="60"/>
    </row>
    <row r="864">
      <c r="A864" s="60"/>
    </row>
    <row r="865">
      <c r="A865" s="60"/>
    </row>
    <row r="866">
      <c r="A866" s="60"/>
    </row>
    <row r="867">
      <c r="A867" s="60"/>
    </row>
    <row r="868">
      <c r="A868" s="60"/>
    </row>
    <row r="869">
      <c r="A869" s="60"/>
    </row>
    <row r="870">
      <c r="A870" s="60"/>
    </row>
    <row r="871">
      <c r="A871" s="60"/>
    </row>
    <row r="872">
      <c r="A872" s="60"/>
    </row>
    <row r="873">
      <c r="A873" s="60"/>
    </row>
    <row r="874">
      <c r="A874" s="60"/>
    </row>
    <row r="875">
      <c r="A875" s="60"/>
    </row>
    <row r="876">
      <c r="A876" s="60"/>
    </row>
    <row r="877">
      <c r="A877" s="60"/>
    </row>
    <row r="878">
      <c r="A878" s="60"/>
    </row>
    <row r="879">
      <c r="A879" s="60"/>
    </row>
    <row r="880">
      <c r="A880" s="60"/>
    </row>
    <row r="881">
      <c r="A881" s="60"/>
    </row>
    <row r="882">
      <c r="A882" s="60"/>
    </row>
    <row r="883">
      <c r="A883" s="60"/>
    </row>
    <row r="884">
      <c r="A884" s="60"/>
    </row>
    <row r="885">
      <c r="A885" s="60"/>
    </row>
    <row r="886">
      <c r="A886" s="60"/>
    </row>
    <row r="887">
      <c r="A887" s="60"/>
    </row>
    <row r="888">
      <c r="A888" s="60"/>
    </row>
    <row r="889">
      <c r="A889" s="60"/>
    </row>
    <row r="890">
      <c r="A890" s="60"/>
    </row>
    <row r="891">
      <c r="A891" s="60"/>
    </row>
    <row r="892">
      <c r="A892" s="60"/>
    </row>
    <row r="893">
      <c r="A893" s="60"/>
    </row>
    <row r="894">
      <c r="A894" s="60"/>
    </row>
    <row r="895">
      <c r="A895" s="60"/>
    </row>
    <row r="896">
      <c r="A896" s="60"/>
    </row>
    <row r="897">
      <c r="A897" s="60"/>
    </row>
    <row r="898">
      <c r="A898" s="60"/>
    </row>
    <row r="899">
      <c r="A899" s="60"/>
    </row>
    <row r="900">
      <c r="A900" s="60"/>
    </row>
    <row r="901">
      <c r="A901" s="60"/>
    </row>
    <row r="902">
      <c r="A902" s="60"/>
    </row>
    <row r="903">
      <c r="A903" s="60"/>
    </row>
    <row r="904">
      <c r="A904" s="60"/>
    </row>
    <row r="905">
      <c r="A905" s="60"/>
    </row>
    <row r="906">
      <c r="A906" s="60"/>
    </row>
    <row r="907">
      <c r="A907" s="60"/>
    </row>
    <row r="908">
      <c r="A908" s="60"/>
    </row>
    <row r="909">
      <c r="A909" s="60"/>
    </row>
    <row r="910">
      <c r="A910" s="60"/>
    </row>
    <row r="911">
      <c r="A911" s="60"/>
    </row>
    <row r="912">
      <c r="A912" s="60"/>
    </row>
    <row r="913">
      <c r="A913" s="60"/>
    </row>
    <row r="914">
      <c r="A914" s="60"/>
    </row>
    <row r="915">
      <c r="A915" s="60"/>
    </row>
    <row r="916">
      <c r="A916" s="60"/>
    </row>
    <row r="917">
      <c r="A917" s="60"/>
    </row>
    <row r="918">
      <c r="A918" s="60"/>
    </row>
    <row r="919">
      <c r="A919" s="60"/>
    </row>
    <row r="920">
      <c r="A920" s="60"/>
    </row>
    <row r="921">
      <c r="A921" s="60"/>
    </row>
    <row r="922">
      <c r="A922" s="60"/>
    </row>
    <row r="923">
      <c r="A923" s="60"/>
    </row>
    <row r="924">
      <c r="A924" s="60"/>
    </row>
    <row r="925">
      <c r="A925" s="60"/>
    </row>
    <row r="926">
      <c r="A926" s="60"/>
    </row>
    <row r="927">
      <c r="A927" s="60"/>
    </row>
    <row r="928">
      <c r="A928" s="60"/>
    </row>
    <row r="929">
      <c r="A929" s="60"/>
    </row>
    <row r="930">
      <c r="A930" s="60"/>
    </row>
    <row r="931">
      <c r="A931" s="60"/>
    </row>
    <row r="932">
      <c r="A932" s="60"/>
    </row>
    <row r="933">
      <c r="A933" s="60"/>
    </row>
    <row r="934">
      <c r="A934" s="60"/>
    </row>
    <row r="935">
      <c r="A935" s="60"/>
    </row>
    <row r="936">
      <c r="A936" s="60"/>
    </row>
    <row r="937">
      <c r="A937" s="60"/>
    </row>
    <row r="938">
      <c r="A938" s="60"/>
    </row>
    <row r="939">
      <c r="A939" s="60"/>
    </row>
    <row r="940">
      <c r="A940" s="60"/>
    </row>
    <row r="941">
      <c r="A941" s="60"/>
    </row>
    <row r="942">
      <c r="A942" s="60"/>
    </row>
    <row r="943">
      <c r="A943" s="60"/>
    </row>
    <row r="944">
      <c r="A944" s="60"/>
    </row>
    <row r="945">
      <c r="A945" s="60"/>
    </row>
    <row r="946">
      <c r="A946" s="60"/>
    </row>
    <row r="947">
      <c r="A947" s="60"/>
    </row>
    <row r="948">
      <c r="A948" s="60"/>
    </row>
    <row r="949">
      <c r="A949" s="60"/>
    </row>
    <row r="950">
      <c r="A950" s="60"/>
    </row>
    <row r="951">
      <c r="A951" s="60"/>
    </row>
    <row r="952">
      <c r="A952" s="60"/>
    </row>
    <row r="953">
      <c r="A953" s="60"/>
    </row>
    <row r="954">
      <c r="A954" s="60"/>
    </row>
    <row r="955">
      <c r="A955" s="60"/>
    </row>
    <row r="956">
      <c r="A956" s="60"/>
    </row>
    <row r="957">
      <c r="A957" s="60"/>
    </row>
    <row r="958">
      <c r="A958" s="60"/>
    </row>
    <row r="959">
      <c r="A959" s="60"/>
    </row>
    <row r="960">
      <c r="A960" s="60"/>
    </row>
    <row r="961">
      <c r="A961" s="60"/>
    </row>
    <row r="962">
      <c r="A962" s="60"/>
    </row>
    <row r="963">
      <c r="A963" s="60"/>
    </row>
    <row r="964">
      <c r="A964" s="60"/>
    </row>
    <row r="965">
      <c r="A965" s="60"/>
    </row>
    <row r="966">
      <c r="A966" s="60"/>
    </row>
    <row r="967">
      <c r="A967" s="60"/>
    </row>
    <row r="968">
      <c r="A968" s="60"/>
    </row>
    <row r="969">
      <c r="A969" s="60"/>
    </row>
    <row r="970">
      <c r="A970" s="60"/>
    </row>
    <row r="971">
      <c r="A971" s="60"/>
    </row>
    <row r="972">
      <c r="A972" s="60"/>
    </row>
    <row r="973">
      <c r="A973" s="60"/>
    </row>
    <row r="974">
      <c r="A974" s="60"/>
    </row>
    <row r="975">
      <c r="A975" s="60"/>
    </row>
    <row r="976">
      <c r="A976" s="60"/>
    </row>
    <row r="977">
      <c r="A977" s="60"/>
    </row>
    <row r="978">
      <c r="A978" s="60"/>
    </row>
    <row r="979">
      <c r="A979" s="60"/>
    </row>
    <row r="980">
      <c r="A980" s="60"/>
    </row>
    <row r="981">
      <c r="A981" s="60"/>
    </row>
    <row r="982">
      <c r="A982" s="60"/>
    </row>
    <row r="983">
      <c r="A983" s="60"/>
    </row>
    <row r="984">
      <c r="A984" s="60"/>
    </row>
    <row r="985">
      <c r="A985" s="60"/>
    </row>
    <row r="986">
      <c r="A986" s="60"/>
    </row>
    <row r="987">
      <c r="A987" s="60"/>
    </row>
    <row r="988">
      <c r="A988" s="60"/>
    </row>
    <row r="989">
      <c r="A989" s="60"/>
    </row>
    <row r="990">
      <c r="A990" s="60"/>
    </row>
    <row r="991">
      <c r="A991" s="60"/>
    </row>
    <row r="992">
      <c r="A992" s="60"/>
    </row>
    <row r="993">
      <c r="A993" s="60"/>
    </row>
    <row r="994">
      <c r="A994" s="60"/>
    </row>
    <row r="995">
      <c r="A995" s="60"/>
    </row>
    <row r="996">
      <c r="A996" s="60"/>
    </row>
    <row r="997">
      <c r="A997" s="60"/>
    </row>
    <row r="998">
      <c r="A998" s="60"/>
    </row>
    <row r="999">
      <c r="A999" s="60"/>
    </row>
    <row r="1000">
      <c r="A1000" s="60"/>
    </row>
    <row r="1001">
      <c r="A1001" s="60"/>
    </row>
  </sheetData>
  <mergeCells count="48">
    <mergeCell ref="E5:F5"/>
    <mergeCell ref="H5:I5"/>
    <mergeCell ref="K5:L5"/>
    <mergeCell ref="N5:O5"/>
    <mergeCell ref="K11:L11"/>
    <mergeCell ref="E14:F14"/>
    <mergeCell ref="H15:I15"/>
    <mergeCell ref="B5:C5"/>
    <mergeCell ref="B23:C23"/>
    <mergeCell ref="E23:F23"/>
    <mergeCell ref="H23:I23"/>
    <mergeCell ref="K23:L23"/>
    <mergeCell ref="N23:O23"/>
    <mergeCell ref="Q23:R23"/>
    <mergeCell ref="E29:F29"/>
    <mergeCell ref="H29:I29"/>
    <mergeCell ref="K29:L29"/>
    <mergeCell ref="N31:O31"/>
    <mergeCell ref="E35:F35"/>
    <mergeCell ref="H35:I35"/>
    <mergeCell ref="K35:L35"/>
    <mergeCell ref="B36:C36"/>
    <mergeCell ref="B37:C37"/>
    <mergeCell ref="Q37:R37"/>
    <mergeCell ref="B38:C38"/>
    <mergeCell ref="Q38:R38"/>
    <mergeCell ref="B39:C39"/>
    <mergeCell ref="B40:C40"/>
    <mergeCell ref="B41:C41"/>
    <mergeCell ref="B44:C44"/>
    <mergeCell ref="E44:F44"/>
    <mergeCell ref="H44:I44"/>
    <mergeCell ref="K44:L44"/>
    <mergeCell ref="N44:O44"/>
    <mergeCell ref="Q44:R44"/>
    <mergeCell ref="B58:C58"/>
    <mergeCell ref="B59:C59"/>
    <mergeCell ref="B60:C60"/>
    <mergeCell ref="B61:C61"/>
    <mergeCell ref="E64:F64"/>
    <mergeCell ref="E49:F49"/>
    <mergeCell ref="H49:I49"/>
    <mergeCell ref="K49:L49"/>
    <mergeCell ref="N49:O49"/>
    <mergeCell ref="E54:F54"/>
    <mergeCell ref="B57:C57"/>
    <mergeCell ref="Q58:R58"/>
    <mergeCell ref="Q59:R5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G1" s="85"/>
      <c r="H1" s="85"/>
      <c r="R1" s="86"/>
      <c r="S1" s="87"/>
      <c r="T1" s="86"/>
      <c r="U1" s="86"/>
      <c r="V1" s="86"/>
      <c r="W1" s="89"/>
    </row>
    <row r="2">
      <c r="G2" s="85"/>
      <c r="H2" s="85"/>
      <c r="R2" s="91"/>
      <c r="S2" s="92"/>
      <c r="T2" s="91"/>
      <c r="U2" s="91"/>
      <c r="V2" s="91"/>
      <c r="W2" s="94"/>
    </row>
    <row r="3">
      <c r="G3" s="85"/>
      <c r="H3" s="85"/>
      <c r="R3" s="91"/>
      <c r="S3" s="92"/>
      <c r="T3" s="91"/>
      <c r="U3" s="91"/>
      <c r="V3" s="91"/>
      <c r="W3" s="94"/>
    </row>
    <row r="4">
      <c r="A4" s="95"/>
      <c r="B4" s="96"/>
      <c r="C4" s="97" t="s">
        <v>205</v>
      </c>
      <c r="D4" s="97" t="s">
        <v>206</v>
      </c>
      <c r="E4" s="98" t="s">
        <v>207</v>
      </c>
      <c r="G4" s="85"/>
      <c r="H4" s="85"/>
      <c r="K4" s="99" t="s">
        <v>208</v>
      </c>
      <c r="L4" s="44"/>
      <c r="N4" s="95"/>
      <c r="O4" s="96"/>
      <c r="P4" s="97" t="s">
        <v>205</v>
      </c>
      <c r="Q4" s="97" t="s">
        <v>206</v>
      </c>
      <c r="R4" s="91" t="s">
        <v>209</v>
      </c>
      <c r="S4" s="92" t="s">
        <v>210</v>
      </c>
      <c r="T4" s="86" t="s">
        <v>211</v>
      </c>
      <c r="U4" s="86"/>
      <c r="V4" s="86" t="s">
        <v>206</v>
      </c>
      <c r="W4" s="89" t="s">
        <v>119</v>
      </c>
    </row>
    <row r="5">
      <c r="A5" s="101">
        <v>1.0</v>
      </c>
      <c r="B5" s="25" t="s">
        <v>125</v>
      </c>
      <c r="C5" s="102">
        <v>6.26</v>
      </c>
      <c r="D5" s="105">
        <f t="shared" ref="D5:D15" si="1">rounddown(log(C5/4.96)*100,2)</f>
        <v>10.1</v>
      </c>
      <c r="E5" s="107">
        <f t="shared" ref="E5:E15" si="2">1.7495*D5*D5+158.59*D5+20971</f>
        <v>22751.2255</v>
      </c>
      <c r="F5" s="108">
        <f t="shared" ref="F5:F15" si="3">E5-20000</f>
        <v>2751.225495</v>
      </c>
      <c r="G5" s="85">
        <f t="shared" ref="G5:G14" si="4">F5/$J$5</f>
        <v>5.158547803</v>
      </c>
      <c r="H5" s="85"/>
      <c r="J5" s="109">
        <f>80000/150</f>
        <v>533.3333333</v>
      </c>
      <c r="K5" s="110"/>
      <c r="L5" s="111" t="s">
        <v>224</v>
      </c>
      <c r="N5" s="101">
        <v>1.0</v>
      </c>
      <c r="O5" s="25" t="s">
        <v>125</v>
      </c>
      <c r="P5" s="25">
        <v>6.06</v>
      </c>
      <c r="Q5" s="105">
        <f t="shared" ref="Q5:Q15" si="5">rounddown(log(P5/4.96)*100,2)</f>
        <v>8.69</v>
      </c>
      <c r="R5" s="94">
        <v>23825.0</v>
      </c>
      <c r="S5" s="115">
        <v>22481.26251695</v>
      </c>
      <c r="T5" s="91">
        <f t="shared" ref="T5:T13" si="6">1.7253*power(Q5,2)+162.82*Q5+20864</f>
        <v>22409.19373</v>
      </c>
      <c r="U5" s="91"/>
      <c r="V5" s="91">
        <v>8.69</v>
      </c>
      <c r="W5" s="94">
        <v>23825.0</v>
      </c>
      <c r="X5" s="94">
        <v>23825.0</v>
      </c>
    </row>
    <row r="6">
      <c r="A6" s="101">
        <v>2.0</v>
      </c>
      <c r="B6" s="25" t="s">
        <v>227</v>
      </c>
      <c r="C6" s="117">
        <v>11.04</v>
      </c>
      <c r="D6" s="105">
        <f t="shared" si="1"/>
        <v>34.74</v>
      </c>
      <c r="E6" s="107">
        <f t="shared" si="2"/>
        <v>28591.83147</v>
      </c>
      <c r="F6" s="108">
        <f t="shared" si="3"/>
        <v>8591.831466</v>
      </c>
      <c r="G6" s="85">
        <f t="shared" si="4"/>
        <v>16.109684</v>
      </c>
      <c r="H6" s="85">
        <f t="shared" ref="H6:H15" si="7">G6-G5</f>
        <v>10.9511362</v>
      </c>
      <c r="K6" s="118"/>
      <c r="L6" s="119"/>
      <c r="N6" s="101">
        <v>2.0</v>
      </c>
      <c r="O6" s="25" t="s">
        <v>227</v>
      </c>
      <c r="P6" s="25">
        <v>10.63</v>
      </c>
      <c r="Q6" s="105">
        <f t="shared" si="5"/>
        <v>33.1</v>
      </c>
      <c r="R6" s="94">
        <v>25999.0</v>
      </c>
      <c r="S6" s="115">
        <v>28137.098695</v>
      </c>
      <c r="T6" s="91">
        <f t="shared" si="6"/>
        <v>28143.59793</v>
      </c>
      <c r="U6" s="91"/>
      <c r="V6" s="91">
        <v>33.1</v>
      </c>
      <c r="W6" s="94">
        <v>25999.0</v>
      </c>
      <c r="X6" s="94">
        <v>25999.0</v>
      </c>
    </row>
    <row r="7">
      <c r="A7" s="101">
        <v>3.0</v>
      </c>
      <c r="B7" s="25" t="s">
        <v>138</v>
      </c>
      <c r="C7" s="117">
        <v>19.34</v>
      </c>
      <c r="D7" s="105">
        <f t="shared" si="1"/>
        <v>59.09</v>
      </c>
      <c r="E7" s="107">
        <f t="shared" si="2"/>
        <v>36450.68646</v>
      </c>
      <c r="F7" s="108">
        <f t="shared" si="3"/>
        <v>16450.68646</v>
      </c>
      <c r="G7" s="85">
        <f t="shared" si="4"/>
        <v>30.84503711</v>
      </c>
      <c r="H7" s="85">
        <f t="shared" si="7"/>
        <v>14.73535312</v>
      </c>
      <c r="K7" s="121">
        <v>1.0</v>
      </c>
      <c r="L7" s="102">
        <v>3.11</v>
      </c>
      <c r="N7" s="101">
        <v>3.0</v>
      </c>
      <c r="O7" s="25" t="s">
        <v>138</v>
      </c>
      <c r="P7" s="25">
        <v>18.78</v>
      </c>
      <c r="Q7" s="105">
        <f t="shared" si="5"/>
        <v>57.82</v>
      </c>
      <c r="R7" s="94">
        <v>35746.0</v>
      </c>
      <c r="S7" s="115">
        <v>35989.5189238</v>
      </c>
      <c r="T7" s="91">
        <f t="shared" si="6"/>
        <v>36046.19324</v>
      </c>
      <c r="U7" s="91"/>
      <c r="V7" s="91">
        <v>57.82</v>
      </c>
      <c r="W7" s="94">
        <v>35746.0</v>
      </c>
      <c r="X7" s="94">
        <v>35746.0</v>
      </c>
    </row>
    <row r="8">
      <c r="A8" s="101">
        <v>4.0</v>
      </c>
      <c r="B8" s="25" t="s">
        <v>233</v>
      </c>
      <c r="C8" s="117">
        <v>32.65</v>
      </c>
      <c r="D8" s="105">
        <f t="shared" si="1"/>
        <v>81.84</v>
      </c>
      <c r="E8" s="107">
        <f t="shared" si="2"/>
        <v>45667.78151</v>
      </c>
      <c r="F8" s="108">
        <f t="shared" si="3"/>
        <v>25667.78151</v>
      </c>
      <c r="G8" s="85">
        <f t="shared" si="4"/>
        <v>48.12709033</v>
      </c>
      <c r="H8" s="85">
        <f t="shared" si="7"/>
        <v>17.28205321</v>
      </c>
      <c r="K8" s="121">
        <v>2.0</v>
      </c>
      <c r="L8" s="102">
        <v>10.61</v>
      </c>
      <c r="N8" s="101">
        <v>4.0</v>
      </c>
      <c r="O8" s="25" t="s">
        <v>233</v>
      </c>
      <c r="P8" s="25">
        <v>31.84</v>
      </c>
      <c r="Q8" s="105">
        <f t="shared" si="5"/>
        <v>80.74</v>
      </c>
      <c r="R8" s="94">
        <v>45401.0</v>
      </c>
      <c r="S8" s="115">
        <v>45180.4554262</v>
      </c>
      <c r="T8" s="91">
        <f t="shared" si="6"/>
        <v>45257.22709</v>
      </c>
      <c r="U8" s="91"/>
      <c r="V8" s="91">
        <v>80.74</v>
      </c>
      <c r="W8" s="94">
        <v>45401.0</v>
      </c>
      <c r="X8" s="94">
        <v>45401.0</v>
      </c>
    </row>
    <row r="9">
      <c r="A9" s="101">
        <v>5.0</v>
      </c>
      <c r="B9" s="25" t="s">
        <v>150</v>
      </c>
      <c r="C9" s="117">
        <v>51.74</v>
      </c>
      <c r="D9" s="105">
        <f t="shared" si="1"/>
        <v>101.83</v>
      </c>
      <c r="E9" s="107">
        <f t="shared" si="2"/>
        <v>55261.3956</v>
      </c>
      <c r="F9" s="108">
        <f t="shared" si="3"/>
        <v>35261.3956</v>
      </c>
      <c r="G9" s="85">
        <f t="shared" si="4"/>
        <v>66.11511675</v>
      </c>
      <c r="H9" s="85">
        <f t="shared" si="7"/>
        <v>17.98802643</v>
      </c>
      <c r="K9" s="121">
        <v>3.0</v>
      </c>
      <c r="L9" s="102">
        <v>14.79</v>
      </c>
      <c r="N9" s="101">
        <v>5.0</v>
      </c>
      <c r="O9" s="25" t="s">
        <v>150</v>
      </c>
      <c r="P9" s="25">
        <v>50.46</v>
      </c>
      <c r="Q9" s="105">
        <f t="shared" si="5"/>
        <v>100.74</v>
      </c>
      <c r="R9" s="94">
        <v>52536.0</v>
      </c>
      <c r="S9" s="115">
        <v>54702.2406262</v>
      </c>
      <c r="T9" s="91">
        <f t="shared" si="6"/>
        <v>54775.77597</v>
      </c>
      <c r="U9" s="91"/>
      <c r="V9" s="91">
        <v>100.74</v>
      </c>
      <c r="W9" s="94">
        <v>52536.0</v>
      </c>
      <c r="X9" s="94">
        <v>52536.0</v>
      </c>
    </row>
    <row r="10">
      <c r="A10" s="101">
        <v>6.0</v>
      </c>
      <c r="B10" s="25" t="s">
        <v>156</v>
      </c>
      <c r="C10" s="117">
        <v>68.11</v>
      </c>
      <c r="D10" s="105">
        <f t="shared" si="1"/>
        <v>113.77</v>
      </c>
      <c r="E10" s="107">
        <f t="shared" si="2"/>
        <v>61658.63507</v>
      </c>
      <c r="F10" s="108">
        <f t="shared" si="3"/>
        <v>41658.63507</v>
      </c>
      <c r="G10" s="85">
        <f t="shared" si="4"/>
        <v>78.10994075</v>
      </c>
      <c r="H10" s="85">
        <f t="shared" si="7"/>
        <v>11.994824</v>
      </c>
      <c r="I10" s="85">
        <f>H10-9.95</f>
        <v>2.044824003</v>
      </c>
      <c r="K10" s="121">
        <v>4.0</v>
      </c>
      <c r="L10" s="102">
        <v>12.62</v>
      </c>
      <c r="N10" s="101">
        <v>6.0</v>
      </c>
      <c r="O10" s="25" t="s">
        <v>156</v>
      </c>
      <c r="P10" s="25">
        <v>66.28</v>
      </c>
      <c r="Q10" s="105">
        <f t="shared" si="5"/>
        <v>112.59</v>
      </c>
      <c r="R10" s="94">
        <v>62876.0</v>
      </c>
      <c r="S10" s="115">
        <v>61004.19902095001</v>
      </c>
      <c r="T10" s="91">
        <f t="shared" si="6"/>
        <v>61066.68322</v>
      </c>
      <c r="U10" s="91"/>
      <c r="V10" s="91">
        <v>112.59</v>
      </c>
      <c r="W10" s="94">
        <v>62876.0</v>
      </c>
      <c r="X10" s="94">
        <v>62876.0</v>
      </c>
    </row>
    <row r="11">
      <c r="A11" s="101">
        <v>7.0</v>
      </c>
      <c r="B11" s="25" t="s">
        <v>162</v>
      </c>
      <c r="C11" s="117">
        <v>85.47</v>
      </c>
      <c r="D11" s="105">
        <f t="shared" si="1"/>
        <v>123.63</v>
      </c>
      <c r="E11" s="107">
        <f t="shared" si="2"/>
        <v>67317.49909</v>
      </c>
      <c r="F11" s="108">
        <f t="shared" si="3"/>
        <v>47317.49909</v>
      </c>
      <c r="G11" s="85">
        <f t="shared" si="4"/>
        <v>88.72031079</v>
      </c>
      <c r="H11" s="85">
        <f t="shared" si="7"/>
        <v>10.61037003</v>
      </c>
      <c r="K11" s="121">
        <v>5.0</v>
      </c>
      <c r="L11" s="102">
        <v>13.0</v>
      </c>
      <c r="N11" s="101">
        <v>7.0</v>
      </c>
      <c r="O11" s="25" t="s">
        <v>162</v>
      </c>
      <c r="P11" s="25">
        <v>84.08</v>
      </c>
      <c r="Q11" s="105">
        <f t="shared" si="5"/>
        <v>122.92</v>
      </c>
      <c r="R11" s="94">
        <v>66686.0</v>
      </c>
      <c r="S11" s="115">
        <v>66898.64933680001</v>
      </c>
      <c r="T11" s="91">
        <f t="shared" si="6"/>
        <v>66945.95524</v>
      </c>
      <c r="U11" s="91"/>
      <c r="V11" s="91">
        <v>122.92</v>
      </c>
      <c r="W11" s="94">
        <v>66686.0</v>
      </c>
      <c r="X11" s="94">
        <v>66686.0</v>
      </c>
    </row>
    <row r="12">
      <c r="A12" s="101">
        <v>8.0</v>
      </c>
      <c r="B12" s="25" t="s">
        <v>169</v>
      </c>
      <c r="C12" s="117">
        <v>114.89</v>
      </c>
      <c r="D12" s="105">
        <f t="shared" si="1"/>
        <v>136.48</v>
      </c>
      <c r="E12" s="107">
        <f t="shared" si="2"/>
        <v>75202.933</v>
      </c>
      <c r="F12" s="108">
        <f t="shared" si="3"/>
        <v>55202.933</v>
      </c>
      <c r="G12" s="85">
        <f t="shared" si="4"/>
        <v>103.5054994</v>
      </c>
      <c r="H12" s="85">
        <f t="shared" si="7"/>
        <v>14.7851886</v>
      </c>
      <c r="K12" s="121">
        <v>6.0</v>
      </c>
      <c r="L12" s="102">
        <v>20.87</v>
      </c>
      <c r="N12" s="101">
        <v>8.0</v>
      </c>
      <c r="O12" s="25" t="s">
        <v>169</v>
      </c>
      <c r="P12" s="25">
        <v>115.57</v>
      </c>
      <c r="Q12" s="105">
        <f t="shared" si="5"/>
        <v>136.73</v>
      </c>
      <c r="R12" s="94">
        <v>75456.0</v>
      </c>
      <c r="S12" s="115">
        <v>75362.07572855</v>
      </c>
      <c r="T12" s="91">
        <f t="shared" si="6"/>
        <v>75381.02238</v>
      </c>
      <c r="U12" s="91"/>
      <c r="V12" s="91">
        <v>136.73</v>
      </c>
      <c r="W12" s="94">
        <v>75456.0</v>
      </c>
      <c r="X12" s="94">
        <v>75456.0</v>
      </c>
    </row>
    <row r="13">
      <c r="A13" s="101">
        <v>9.0</v>
      </c>
      <c r="B13" s="25" t="s">
        <v>240</v>
      </c>
      <c r="C13" s="117">
        <v>145.61</v>
      </c>
      <c r="D13" s="105">
        <f t="shared" si="1"/>
        <v>146.77</v>
      </c>
      <c r="E13" s="107">
        <f t="shared" si="2"/>
        <v>81933.99116</v>
      </c>
      <c r="F13" s="108">
        <f t="shared" si="3"/>
        <v>61933.99116</v>
      </c>
      <c r="G13" s="85">
        <f t="shared" si="4"/>
        <v>116.1262334</v>
      </c>
      <c r="H13" s="85">
        <f t="shared" si="7"/>
        <v>12.62073404</v>
      </c>
      <c r="K13" s="121">
        <v>8.0</v>
      </c>
      <c r="L13" s="102">
        <v>50.0</v>
      </c>
      <c r="N13" s="101">
        <v>9.0</v>
      </c>
      <c r="O13" s="25" t="s">
        <v>240</v>
      </c>
      <c r="P13" s="25">
        <v>140.71</v>
      </c>
      <c r="Q13" s="105">
        <f t="shared" si="5"/>
        <v>145.28</v>
      </c>
      <c r="R13" s="94">
        <v>79972.0</v>
      </c>
      <c r="S13" s="122">
        <v>80936.3892608</v>
      </c>
      <c r="T13" s="91">
        <f t="shared" si="6"/>
        <v>80933.15172</v>
      </c>
      <c r="U13" s="91"/>
      <c r="V13" s="91">
        <v>145.28</v>
      </c>
      <c r="W13" s="94">
        <v>79972.0</v>
      </c>
      <c r="X13" s="94">
        <v>79972.0</v>
      </c>
    </row>
    <row r="14">
      <c r="A14" s="101">
        <v>10.0</v>
      </c>
      <c r="B14" s="25" t="s">
        <v>243</v>
      </c>
      <c r="C14" s="117">
        <v>260.3</v>
      </c>
      <c r="D14" s="105">
        <f t="shared" si="1"/>
        <v>171.99</v>
      </c>
      <c r="E14" s="107">
        <f t="shared" si="2"/>
        <v>99998.08399</v>
      </c>
      <c r="F14" s="108">
        <f t="shared" si="3"/>
        <v>79998.08399</v>
      </c>
      <c r="G14" s="85">
        <f t="shared" si="4"/>
        <v>149.9964075</v>
      </c>
      <c r="H14" s="85">
        <f t="shared" si="7"/>
        <v>33.87017407</v>
      </c>
      <c r="I14" s="85">
        <f>sum(H14:H15)</f>
        <v>33.87376658</v>
      </c>
      <c r="K14" s="121">
        <v>9.0</v>
      </c>
      <c r="L14" s="102">
        <v>5.16</v>
      </c>
      <c r="N14" s="101">
        <v>10.0</v>
      </c>
      <c r="O14" s="25" t="s">
        <v>243</v>
      </c>
      <c r="P14" s="25">
        <v>270.0</v>
      </c>
      <c r="Q14" s="105">
        <f t="shared" si="5"/>
        <v>173.58</v>
      </c>
      <c r="R14" s="123"/>
      <c r="S14" s="122">
        <v>101211.51589180001</v>
      </c>
      <c r="T14" s="123"/>
      <c r="U14" s="123"/>
      <c r="V14" s="123"/>
      <c r="W14" s="123"/>
    </row>
    <row r="15">
      <c r="A15" s="124"/>
      <c r="B15" s="125"/>
      <c r="C15" s="102">
        <v>270.0</v>
      </c>
      <c r="D15" s="126">
        <f t="shared" si="1"/>
        <v>173.58</v>
      </c>
      <c r="E15" s="127">
        <f t="shared" si="2"/>
        <v>101211.5159</v>
      </c>
      <c r="F15" s="108">
        <f t="shared" si="3"/>
        <v>81211.51589</v>
      </c>
      <c r="G15" s="128">
        <v>150.0</v>
      </c>
      <c r="H15" s="85">
        <f t="shared" si="7"/>
        <v>0.003592509469</v>
      </c>
      <c r="K15" s="121">
        <v>10.0</v>
      </c>
      <c r="L15" s="102">
        <v>10.95</v>
      </c>
      <c r="N15" s="124"/>
      <c r="O15" s="125"/>
      <c r="P15" s="129">
        <v>270.0</v>
      </c>
      <c r="Q15" s="126">
        <f t="shared" si="5"/>
        <v>173.58</v>
      </c>
      <c r="R15" s="123"/>
      <c r="S15" s="122"/>
      <c r="T15" s="123"/>
      <c r="U15" s="123"/>
      <c r="V15" s="123"/>
      <c r="W15" s="123"/>
    </row>
    <row r="16">
      <c r="D16" s="85"/>
      <c r="G16" s="85"/>
      <c r="H16" s="85"/>
      <c r="K16" s="121">
        <v>11.0</v>
      </c>
      <c r="L16" s="102">
        <v>14.74</v>
      </c>
      <c r="Q16" s="85"/>
      <c r="R16" s="123"/>
      <c r="S16" s="122"/>
      <c r="T16" s="123"/>
      <c r="U16" s="123"/>
      <c r="V16" s="123"/>
      <c r="W16" s="123"/>
    </row>
    <row r="17">
      <c r="D17" s="85"/>
      <c r="G17" s="85"/>
      <c r="H17" s="85"/>
      <c r="K17" s="121">
        <v>12.0</v>
      </c>
      <c r="L17" s="102">
        <v>17.28</v>
      </c>
      <c r="Q17" s="85"/>
      <c r="R17" s="123"/>
      <c r="S17" s="122"/>
      <c r="T17" s="123"/>
      <c r="U17" s="123"/>
      <c r="V17" s="123"/>
      <c r="W17" s="123"/>
    </row>
    <row r="18">
      <c r="D18" s="85"/>
      <c r="G18" s="85"/>
      <c r="H18" s="85"/>
      <c r="K18" s="121">
        <v>13.0</v>
      </c>
      <c r="L18" s="102">
        <v>17.99</v>
      </c>
      <c r="Q18" s="85"/>
      <c r="R18" s="123"/>
      <c r="S18" s="122"/>
      <c r="T18" s="123"/>
      <c r="U18" s="123"/>
      <c r="V18" s="123"/>
      <c r="W18" s="123"/>
    </row>
    <row r="19">
      <c r="D19" s="85"/>
      <c r="G19" s="85"/>
      <c r="H19" s="85"/>
      <c r="K19" s="130">
        <v>14.0</v>
      </c>
      <c r="L19" s="102">
        <v>8.88</v>
      </c>
      <c r="Q19" s="85"/>
      <c r="R19" s="123"/>
      <c r="S19" s="122"/>
      <c r="T19" s="123"/>
      <c r="U19" s="123"/>
      <c r="V19" s="123"/>
      <c r="W19" s="123"/>
    </row>
    <row r="20">
      <c r="D20" s="85"/>
      <c r="G20" s="85"/>
      <c r="H20" s="85"/>
      <c r="Q20" s="85"/>
      <c r="R20" s="123"/>
      <c r="S20" s="122"/>
      <c r="T20" s="123"/>
      <c r="U20" s="123"/>
      <c r="V20" s="123"/>
      <c r="W20" s="123"/>
    </row>
    <row r="21">
      <c r="D21" s="85"/>
      <c r="G21" s="85"/>
      <c r="H21" s="85"/>
      <c r="Q21" s="85"/>
      <c r="R21" s="123"/>
      <c r="S21" s="122"/>
      <c r="T21" s="123"/>
      <c r="U21" s="123"/>
      <c r="V21" s="123"/>
      <c r="W21" s="123"/>
    </row>
    <row r="22">
      <c r="G22" s="85"/>
      <c r="H22" s="85"/>
      <c r="R22" s="123"/>
      <c r="S22" s="122"/>
      <c r="T22" s="123"/>
      <c r="U22" s="123"/>
      <c r="V22" s="123"/>
      <c r="W22" s="123"/>
    </row>
    <row r="23">
      <c r="B23" s="109">
        <f>8.69+24.41+24.72+17.18</f>
        <v>75</v>
      </c>
      <c r="G23" s="85"/>
      <c r="H23" s="85"/>
      <c r="O23" s="109">
        <f>8.69+24.41+24.72+17.18</f>
        <v>75</v>
      </c>
      <c r="R23" s="123"/>
      <c r="S23" s="122"/>
      <c r="T23" s="123"/>
      <c r="U23" s="123"/>
      <c r="V23" s="123"/>
      <c r="W23" s="123"/>
    </row>
    <row r="24">
      <c r="G24" s="85"/>
      <c r="H24" s="85"/>
      <c r="R24" s="123"/>
      <c r="S24" s="122"/>
      <c r="T24" s="123"/>
      <c r="U24" s="123"/>
      <c r="V24" s="123"/>
      <c r="W24" s="123"/>
    </row>
    <row r="25">
      <c r="G25" s="128"/>
      <c r="H25" s="85"/>
      <c r="R25" s="123"/>
      <c r="S25" s="122"/>
      <c r="T25" s="123"/>
      <c r="U25" s="123"/>
      <c r="V25" s="123"/>
      <c r="W25" s="123"/>
    </row>
    <row r="26">
      <c r="G26" s="128"/>
      <c r="H26" s="85"/>
      <c r="R26" s="123"/>
      <c r="S26" s="122"/>
      <c r="T26" s="123"/>
      <c r="U26" s="123"/>
      <c r="V26" s="123"/>
      <c r="W26" s="123"/>
    </row>
    <row r="27">
      <c r="G27" s="128"/>
      <c r="H27" s="105"/>
      <c r="R27" s="123"/>
      <c r="S27" s="122"/>
      <c r="T27" s="123"/>
      <c r="U27" s="123"/>
      <c r="V27" s="123"/>
      <c r="W27" s="123"/>
    </row>
    <row r="28">
      <c r="G28" s="128"/>
      <c r="H28" s="105"/>
      <c r="R28" s="123"/>
      <c r="S28" s="122"/>
      <c r="T28" s="123"/>
      <c r="U28" s="123"/>
      <c r="V28" s="123"/>
      <c r="W28" s="123"/>
    </row>
    <row r="29">
      <c r="G29" s="128"/>
      <c r="H29" s="105"/>
      <c r="R29" s="123"/>
      <c r="S29" s="122"/>
      <c r="T29" s="123"/>
      <c r="U29" s="123"/>
      <c r="V29" s="123"/>
      <c r="W29" s="123"/>
    </row>
    <row r="30">
      <c r="G30" s="128"/>
      <c r="H30" s="105"/>
      <c r="R30" s="123"/>
      <c r="S30" s="122"/>
      <c r="T30" s="123"/>
      <c r="U30" s="123"/>
      <c r="V30" s="123"/>
      <c r="W30" s="123"/>
    </row>
    <row r="31">
      <c r="G31" s="128"/>
      <c r="H31" s="105"/>
      <c r="R31" s="123"/>
      <c r="S31" s="122"/>
      <c r="T31" s="123"/>
      <c r="U31" s="123"/>
      <c r="V31" s="123"/>
      <c r="W31" s="123"/>
    </row>
    <row r="32">
      <c r="G32" s="128"/>
      <c r="H32" s="105"/>
      <c r="R32" s="123"/>
      <c r="S32" s="122"/>
      <c r="T32" s="123"/>
      <c r="U32" s="123"/>
      <c r="V32" s="123"/>
      <c r="W32" s="123"/>
    </row>
    <row r="33">
      <c r="G33" s="128"/>
      <c r="H33" s="105"/>
      <c r="R33" s="123"/>
      <c r="S33" s="122"/>
      <c r="T33" s="123"/>
      <c r="U33" s="123"/>
      <c r="V33" s="123"/>
      <c r="W33" s="123"/>
    </row>
    <row r="34">
      <c r="G34" s="128"/>
      <c r="H34" s="105"/>
      <c r="R34" s="123"/>
      <c r="S34" s="122"/>
      <c r="T34" s="123"/>
      <c r="U34" s="123"/>
      <c r="V34" s="123"/>
      <c r="W34" s="123"/>
    </row>
    <row r="35">
      <c r="G35" s="128"/>
      <c r="H35" s="105"/>
      <c r="R35" s="123"/>
      <c r="S35" s="122"/>
      <c r="T35" s="123"/>
      <c r="U35" s="123"/>
      <c r="V35" s="123"/>
      <c r="W35" s="123"/>
    </row>
    <row r="36">
      <c r="G36" s="128"/>
      <c r="H36" s="105"/>
      <c r="R36" s="123"/>
      <c r="S36" s="122"/>
      <c r="T36" s="123"/>
      <c r="U36" s="123"/>
      <c r="V36" s="123"/>
      <c r="W36" s="123"/>
    </row>
    <row r="37">
      <c r="G37" s="85"/>
      <c r="H37" s="85"/>
      <c r="R37" s="123"/>
      <c r="S37" s="122"/>
      <c r="T37" s="123"/>
      <c r="U37" s="123"/>
      <c r="V37" s="123"/>
      <c r="W37" s="123"/>
    </row>
    <row r="38">
      <c r="G38" s="128"/>
      <c r="H38" s="85"/>
      <c r="R38" s="123"/>
      <c r="S38" s="122"/>
      <c r="T38" s="123"/>
      <c r="U38" s="123"/>
      <c r="V38" s="123"/>
      <c r="W38" s="123"/>
    </row>
    <row r="39">
      <c r="G39" s="128"/>
      <c r="H39" s="85"/>
      <c r="R39" s="123"/>
      <c r="S39" s="122"/>
      <c r="T39" s="123"/>
      <c r="U39" s="123"/>
      <c r="V39" s="123"/>
      <c r="W39" s="123"/>
    </row>
    <row r="40">
      <c r="G40" s="128"/>
      <c r="H40" s="85"/>
      <c r="R40" s="123"/>
      <c r="S40" s="122"/>
      <c r="T40" s="123"/>
      <c r="U40" s="123"/>
      <c r="V40" s="123"/>
      <c r="W40" s="123"/>
    </row>
    <row r="41">
      <c r="G41" s="128"/>
      <c r="H41" s="85"/>
      <c r="R41" s="123"/>
      <c r="S41" s="122"/>
      <c r="T41" s="123"/>
      <c r="U41" s="123"/>
      <c r="V41" s="123"/>
      <c r="W41" s="123"/>
    </row>
    <row r="42">
      <c r="G42" s="128"/>
      <c r="H42" s="85"/>
      <c r="R42" s="123"/>
      <c r="S42" s="122"/>
      <c r="T42" s="123"/>
      <c r="U42" s="123"/>
      <c r="V42" s="123"/>
      <c r="W42" s="123"/>
    </row>
    <row r="43">
      <c r="G43" s="128"/>
      <c r="H43" s="85"/>
      <c r="R43" s="123"/>
      <c r="S43" s="122"/>
      <c r="T43" s="123"/>
      <c r="U43" s="123"/>
      <c r="V43" s="123"/>
      <c r="W43" s="123"/>
    </row>
    <row r="44">
      <c r="G44" s="85"/>
      <c r="H44" s="85"/>
      <c r="R44" s="123"/>
      <c r="S44" s="122"/>
      <c r="T44" s="123"/>
      <c r="U44" s="123"/>
      <c r="V44" s="123"/>
      <c r="W44" s="123"/>
    </row>
    <row r="45">
      <c r="G45" s="85"/>
      <c r="H45" s="85"/>
      <c r="R45" s="123"/>
      <c r="S45" s="122"/>
      <c r="T45" s="123"/>
      <c r="U45" s="123"/>
      <c r="V45" s="123"/>
      <c r="W45" s="123"/>
    </row>
    <row r="46">
      <c r="G46" s="85"/>
      <c r="H46" s="85"/>
      <c r="R46" s="123"/>
      <c r="S46" s="122"/>
      <c r="T46" s="123"/>
      <c r="U46" s="123"/>
      <c r="V46" s="123"/>
      <c r="W46" s="123"/>
    </row>
    <row r="47">
      <c r="G47" s="85"/>
      <c r="H47" s="85"/>
      <c r="R47" s="123"/>
      <c r="S47" s="122"/>
      <c r="T47" s="123"/>
      <c r="U47" s="123"/>
      <c r="V47" s="123"/>
      <c r="W47" s="123"/>
    </row>
    <row r="48">
      <c r="G48" s="85"/>
      <c r="H48" s="85"/>
      <c r="R48" s="123"/>
      <c r="S48" s="122"/>
      <c r="T48" s="123"/>
      <c r="U48" s="123"/>
      <c r="V48" s="123"/>
      <c r="W48" s="123"/>
    </row>
    <row r="49">
      <c r="G49" s="85"/>
      <c r="H49" s="85"/>
      <c r="R49" s="123"/>
      <c r="S49" s="122"/>
      <c r="T49" s="123"/>
      <c r="U49" s="123"/>
      <c r="V49" s="123"/>
      <c r="W49" s="123"/>
    </row>
    <row r="50">
      <c r="G50" s="85"/>
      <c r="H50" s="85"/>
      <c r="R50" s="123"/>
      <c r="S50" s="122"/>
      <c r="T50" s="123"/>
      <c r="U50" s="123"/>
      <c r="V50" s="123"/>
      <c r="W50" s="123"/>
    </row>
    <row r="51">
      <c r="G51" s="85"/>
      <c r="H51" s="85"/>
      <c r="R51" s="123"/>
      <c r="S51" s="122"/>
      <c r="T51" s="123"/>
      <c r="U51" s="123"/>
      <c r="V51" s="123"/>
      <c r="W51" s="123"/>
    </row>
    <row r="52">
      <c r="G52" s="85"/>
      <c r="H52" s="85"/>
      <c r="R52" s="123"/>
      <c r="S52" s="122"/>
      <c r="T52" s="123"/>
      <c r="U52" s="123"/>
      <c r="V52" s="123"/>
      <c r="W52" s="123"/>
    </row>
    <row r="53">
      <c r="G53" s="85"/>
      <c r="H53" s="85"/>
      <c r="R53" s="123"/>
      <c r="S53" s="122"/>
      <c r="T53" s="123"/>
      <c r="U53" s="123"/>
      <c r="V53" s="123"/>
      <c r="W53" s="123"/>
    </row>
    <row r="54">
      <c r="G54" s="85"/>
      <c r="H54" s="85"/>
      <c r="R54" s="123"/>
      <c r="S54" s="122"/>
      <c r="T54" s="123"/>
      <c r="U54" s="123"/>
      <c r="V54" s="123"/>
      <c r="W54" s="123"/>
    </row>
    <row r="55">
      <c r="G55" s="85"/>
      <c r="H55" s="85"/>
      <c r="R55" s="123"/>
      <c r="S55" s="122"/>
      <c r="T55" s="123"/>
      <c r="U55" s="123"/>
      <c r="V55" s="123"/>
      <c r="W55" s="123"/>
    </row>
    <row r="56">
      <c r="G56" s="85"/>
      <c r="H56" s="85"/>
      <c r="R56" s="123"/>
      <c r="S56" s="122"/>
      <c r="T56" s="123"/>
      <c r="U56" s="123"/>
      <c r="V56" s="123"/>
      <c r="W56" s="123"/>
    </row>
    <row r="57">
      <c r="G57" s="85"/>
      <c r="H57" s="85"/>
      <c r="R57" s="123"/>
      <c r="S57" s="122"/>
      <c r="T57" s="123"/>
      <c r="U57" s="123"/>
      <c r="V57" s="123"/>
      <c r="W57" s="123"/>
    </row>
    <row r="58">
      <c r="G58" s="85"/>
      <c r="H58" s="85"/>
      <c r="R58" s="123"/>
      <c r="S58" s="122"/>
      <c r="T58" s="123"/>
      <c r="U58" s="123"/>
      <c r="V58" s="123"/>
      <c r="W58" s="123"/>
    </row>
    <row r="59">
      <c r="G59" s="85"/>
      <c r="H59" s="85"/>
      <c r="R59" s="123"/>
      <c r="S59" s="122"/>
      <c r="T59" s="123"/>
      <c r="U59" s="123"/>
      <c r="V59" s="123"/>
      <c r="W59" s="123"/>
    </row>
    <row r="60">
      <c r="G60" s="85"/>
      <c r="H60" s="85"/>
      <c r="R60" s="123"/>
      <c r="S60" s="122"/>
      <c r="T60" s="123"/>
      <c r="U60" s="123"/>
      <c r="V60" s="123"/>
      <c r="W60" s="123"/>
    </row>
    <row r="61">
      <c r="G61" s="85"/>
      <c r="H61" s="85"/>
      <c r="R61" s="123"/>
      <c r="S61" s="122"/>
      <c r="T61" s="123"/>
      <c r="U61" s="123"/>
      <c r="V61" s="123"/>
      <c r="W61" s="123"/>
    </row>
    <row r="62">
      <c r="G62" s="85"/>
      <c r="H62" s="85"/>
      <c r="R62" s="123"/>
      <c r="S62" s="122"/>
      <c r="T62" s="123"/>
      <c r="U62" s="123"/>
      <c r="V62" s="123"/>
      <c r="W62" s="123"/>
    </row>
    <row r="63">
      <c r="G63" s="85"/>
      <c r="H63" s="85"/>
      <c r="R63" s="123"/>
      <c r="S63" s="122"/>
      <c r="T63" s="123"/>
      <c r="U63" s="123"/>
      <c r="V63" s="123"/>
      <c r="W63" s="123"/>
    </row>
    <row r="64">
      <c r="G64" s="85"/>
      <c r="H64" s="85"/>
      <c r="R64" s="123"/>
      <c r="S64" s="122"/>
      <c r="T64" s="123"/>
      <c r="U64" s="123"/>
      <c r="V64" s="123"/>
      <c r="W64" s="123"/>
    </row>
    <row r="65">
      <c r="G65" s="85"/>
      <c r="H65" s="85"/>
      <c r="R65" s="123"/>
      <c r="S65" s="122"/>
      <c r="T65" s="123"/>
      <c r="U65" s="123"/>
      <c r="V65" s="123"/>
      <c r="W65" s="123"/>
    </row>
    <row r="66">
      <c r="G66" s="85"/>
      <c r="H66" s="85"/>
      <c r="R66" s="123"/>
      <c r="S66" s="122"/>
      <c r="T66" s="123"/>
      <c r="U66" s="123"/>
      <c r="V66" s="123"/>
      <c r="W66" s="123"/>
    </row>
    <row r="67">
      <c r="G67" s="85"/>
      <c r="H67" s="85"/>
      <c r="R67" s="123"/>
      <c r="S67" s="122"/>
      <c r="T67" s="123"/>
      <c r="U67" s="123"/>
      <c r="V67" s="123"/>
      <c r="W67" s="123"/>
    </row>
    <row r="68">
      <c r="G68" s="85"/>
      <c r="H68" s="85"/>
      <c r="R68" s="123"/>
      <c r="S68" s="122"/>
      <c r="T68" s="123"/>
      <c r="U68" s="123"/>
      <c r="V68" s="123"/>
      <c r="W68" s="123"/>
    </row>
    <row r="69">
      <c r="G69" s="85"/>
      <c r="H69" s="85"/>
      <c r="R69" s="123"/>
      <c r="S69" s="122"/>
      <c r="T69" s="123"/>
      <c r="U69" s="123"/>
      <c r="V69" s="123"/>
      <c r="W69" s="123"/>
    </row>
    <row r="70">
      <c r="G70" s="85"/>
      <c r="H70" s="85"/>
      <c r="R70" s="123"/>
      <c r="S70" s="122"/>
      <c r="T70" s="123"/>
      <c r="U70" s="123"/>
      <c r="V70" s="123"/>
      <c r="W70" s="123"/>
    </row>
    <row r="71">
      <c r="G71" s="85"/>
      <c r="H71" s="85"/>
      <c r="R71" s="123"/>
      <c r="S71" s="122"/>
      <c r="T71" s="123"/>
      <c r="U71" s="123"/>
      <c r="V71" s="123"/>
      <c r="W71" s="123"/>
    </row>
    <row r="72">
      <c r="G72" s="85"/>
      <c r="H72" s="85"/>
      <c r="R72" s="123"/>
      <c r="S72" s="122"/>
      <c r="T72" s="123"/>
      <c r="U72" s="123"/>
      <c r="V72" s="123"/>
      <c r="W72" s="123"/>
    </row>
    <row r="73">
      <c r="G73" s="85"/>
      <c r="H73" s="85"/>
      <c r="R73" s="123"/>
      <c r="S73" s="122"/>
      <c r="T73" s="123"/>
      <c r="U73" s="123"/>
      <c r="V73" s="123"/>
      <c r="W73" s="123"/>
    </row>
    <row r="74">
      <c r="G74" s="85"/>
      <c r="H74" s="85"/>
      <c r="R74" s="123"/>
      <c r="S74" s="122"/>
      <c r="T74" s="123"/>
      <c r="U74" s="123"/>
      <c r="V74" s="123"/>
      <c r="W74" s="123"/>
    </row>
    <row r="75">
      <c r="G75" s="85"/>
      <c r="H75" s="85"/>
      <c r="R75" s="123"/>
      <c r="S75" s="122"/>
      <c r="T75" s="123"/>
      <c r="U75" s="123"/>
      <c r="V75" s="123"/>
      <c r="W75" s="123"/>
    </row>
    <row r="76">
      <c r="G76" s="85"/>
      <c r="H76" s="85"/>
      <c r="R76" s="123"/>
      <c r="S76" s="122"/>
      <c r="T76" s="123"/>
      <c r="U76" s="123"/>
      <c r="V76" s="123"/>
      <c r="W76" s="123"/>
    </row>
    <row r="77">
      <c r="G77" s="85"/>
      <c r="H77" s="85"/>
      <c r="R77" s="123"/>
      <c r="S77" s="122"/>
      <c r="T77" s="123"/>
      <c r="U77" s="123"/>
      <c r="V77" s="123"/>
      <c r="W77" s="123"/>
    </row>
    <row r="78">
      <c r="G78" s="85"/>
      <c r="H78" s="85"/>
      <c r="R78" s="123"/>
      <c r="S78" s="122"/>
      <c r="T78" s="123"/>
      <c r="U78" s="123"/>
      <c r="V78" s="123"/>
      <c r="W78" s="123"/>
    </row>
    <row r="79">
      <c r="G79" s="85"/>
      <c r="H79" s="85"/>
      <c r="R79" s="123"/>
      <c r="S79" s="122"/>
      <c r="T79" s="123"/>
      <c r="U79" s="123"/>
      <c r="V79" s="123"/>
      <c r="W79" s="123"/>
    </row>
    <row r="80">
      <c r="G80" s="85"/>
      <c r="H80" s="85"/>
      <c r="R80" s="123"/>
      <c r="S80" s="122"/>
      <c r="T80" s="123"/>
      <c r="U80" s="123"/>
      <c r="V80" s="123"/>
      <c r="W80" s="123"/>
    </row>
    <row r="81">
      <c r="G81" s="85"/>
      <c r="H81" s="85"/>
      <c r="R81" s="123"/>
      <c r="S81" s="122"/>
      <c r="T81" s="123"/>
      <c r="U81" s="123"/>
      <c r="V81" s="123"/>
      <c r="W81" s="123"/>
    </row>
    <row r="82">
      <c r="G82" s="85"/>
      <c r="H82" s="85"/>
      <c r="R82" s="123"/>
      <c r="S82" s="122"/>
      <c r="T82" s="123"/>
      <c r="U82" s="123"/>
      <c r="V82" s="123"/>
      <c r="W82" s="123"/>
    </row>
    <row r="83">
      <c r="G83" s="85"/>
      <c r="H83" s="85"/>
      <c r="R83" s="123"/>
      <c r="S83" s="122"/>
      <c r="T83" s="123"/>
      <c r="U83" s="123"/>
      <c r="V83" s="123"/>
      <c r="W83" s="123"/>
    </row>
    <row r="84">
      <c r="G84" s="85"/>
      <c r="H84" s="85"/>
      <c r="R84" s="123"/>
      <c r="S84" s="122"/>
      <c r="T84" s="123"/>
      <c r="U84" s="123"/>
      <c r="V84" s="123"/>
      <c r="W84" s="123"/>
    </row>
    <row r="85">
      <c r="G85" s="85"/>
      <c r="H85" s="85"/>
      <c r="R85" s="123"/>
      <c r="S85" s="122"/>
      <c r="T85" s="123"/>
      <c r="U85" s="123"/>
      <c r="V85" s="123"/>
      <c r="W85" s="123"/>
    </row>
    <row r="86">
      <c r="G86" s="85"/>
      <c r="H86" s="85"/>
      <c r="R86" s="123"/>
      <c r="S86" s="122"/>
      <c r="T86" s="123"/>
      <c r="U86" s="123"/>
      <c r="V86" s="123"/>
      <c r="W86" s="123"/>
    </row>
    <row r="87">
      <c r="G87" s="85"/>
      <c r="H87" s="85"/>
      <c r="R87" s="123"/>
      <c r="S87" s="122"/>
      <c r="T87" s="123"/>
      <c r="U87" s="123"/>
      <c r="V87" s="123"/>
      <c r="W87" s="123"/>
    </row>
    <row r="88">
      <c r="G88" s="85"/>
      <c r="H88" s="85"/>
      <c r="R88" s="123"/>
      <c r="S88" s="122"/>
      <c r="T88" s="123"/>
      <c r="U88" s="123"/>
      <c r="V88" s="123"/>
      <c r="W88" s="123"/>
    </row>
    <row r="89">
      <c r="G89" s="85"/>
      <c r="H89" s="85"/>
      <c r="R89" s="123"/>
      <c r="S89" s="122"/>
      <c r="T89" s="123"/>
      <c r="U89" s="123"/>
      <c r="V89" s="123"/>
      <c r="W89" s="123"/>
    </row>
    <row r="90">
      <c r="G90" s="85"/>
      <c r="H90" s="85"/>
      <c r="R90" s="123"/>
      <c r="S90" s="122"/>
      <c r="T90" s="123"/>
      <c r="U90" s="123"/>
      <c r="V90" s="123"/>
      <c r="W90" s="123"/>
    </row>
    <row r="91">
      <c r="G91" s="85"/>
      <c r="H91" s="85"/>
      <c r="R91" s="123"/>
      <c r="S91" s="122"/>
      <c r="T91" s="123"/>
      <c r="U91" s="123"/>
      <c r="V91" s="123"/>
      <c r="W91" s="123"/>
    </row>
    <row r="92">
      <c r="G92" s="85"/>
      <c r="H92" s="85"/>
      <c r="R92" s="123"/>
      <c r="S92" s="122"/>
      <c r="T92" s="123"/>
      <c r="U92" s="123"/>
      <c r="V92" s="123"/>
      <c r="W92" s="123"/>
    </row>
    <row r="93">
      <c r="G93" s="85"/>
      <c r="H93" s="85"/>
      <c r="R93" s="123"/>
      <c r="S93" s="122"/>
      <c r="T93" s="123"/>
      <c r="U93" s="123"/>
      <c r="V93" s="123"/>
      <c r="W93" s="123"/>
    </row>
    <row r="94">
      <c r="G94" s="85"/>
      <c r="H94" s="85"/>
      <c r="R94" s="123"/>
      <c r="S94" s="122"/>
      <c r="T94" s="123"/>
      <c r="U94" s="123"/>
      <c r="V94" s="123"/>
      <c r="W94" s="123"/>
    </row>
    <row r="95">
      <c r="G95" s="85"/>
      <c r="H95" s="85"/>
      <c r="R95" s="123"/>
      <c r="S95" s="122"/>
      <c r="T95" s="123"/>
      <c r="U95" s="123"/>
      <c r="V95" s="123"/>
      <c r="W95" s="123"/>
    </row>
    <row r="96">
      <c r="G96" s="85"/>
      <c r="H96" s="85"/>
      <c r="R96" s="123"/>
      <c r="S96" s="122"/>
      <c r="T96" s="123"/>
      <c r="U96" s="123"/>
      <c r="V96" s="123"/>
      <c r="W96" s="123"/>
    </row>
    <row r="97">
      <c r="G97" s="85"/>
      <c r="H97" s="85"/>
      <c r="R97" s="123"/>
      <c r="S97" s="122"/>
      <c r="T97" s="123"/>
      <c r="U97" s="123"/>
      <c r="V97" s="123"/>
      <c r="W97" s="123"/>
    </row>
    <row r="98">
      <c r="G98" s="85"/>
      <c r="H98" s="85"/>
      <c r="R98" s="123"/>
      <c r="S98" s="122"/>
      <c r="T98" s="123"/>
      <c r="U98" s="123"/>
      <c r="V98" s="123"/>
      <c r="W98" s="123"/>
    </row>
    <row r="99">
      <c r="G99" s="85"/>
      <c r="H99" s="85"/>
      <c r="R99" s="123"/>
      <c r="S99" s="122"/>
      <c r="T99" s="123"/>
      <c r="U99" s="123"/>
      <c r="V99" s="123"/>
      <c r="W99" s="123"/>
    </row>
    <row r="100">
      <c r="G100" s="85"/>
      <c r="H100" s="85"/>
      <c r="R100" s="123"/>
      <c r="S100" s="122"/>
      <c r="T100" s="123"/>
      <c r="U100" s="123"/>
      <c r="V100" s="123"/>
      <c r="W100" s="123"/>
    </row>
    <row r="101">
      <c r="G101" s="85"/>
      <c r="H101" s="85"/>
      <c r="R101" s="123"/>
      <c r="S101" s="122"/>
      <c r="T101" s="123"/>
      <c r="U101" s="123"/>
      <c r="V101" s="123"/>
      <c r="W101" s="123"/>
    </row>
    <row r="102">
      <c r="G102" s="85"/>
      <c r="H102" s="85"/>
      <c r="R102" s="123"/>
      <c r="S102" s="122"/>
      <c r="T102" s="123"/>
      <c r="U102" s="123"/>
      <c r="V102" s="123"/>
      <c r="W102" s="123"/>
    </row>
    <row r="103">
      <c r="G103" s="85"/>
      <c r="H103" s="85"/>
      <c r="R103" s="123"/>
      <c r="S103" s="122"/>
      <c r="T103" s="123"/>
      <c r="U103" s="123"/>
      <c r="V103" s="123"/>
      <c r="W103" s="123"/>
    </row>
    <row r="104">
      <c r="G104" s="85"/>
      <c r="H104" s="85"/>
      <c r="R104" s="123"/>
      <c r="S104" s="122"/>
      <c r="T104" s="123"/>
      <c r="U104" s="123"/>
      <c r="V104" s="123"/>
      <c r="W104" s="123"/>
    </row>
    <row r="105">
      <c r="G105" s="85"/>
      <c r="H105" s="85"/>
      <c r="R105" s="123"/>
      <c r="S105" s="122"/>
      <c r="T105" s="123"/>
      <c r="U105" s="123"/>
      <c r="V105" s="123"/>
      <c r="W105" s="123"/>
    </row>
    <row r="106">
      <c r="G106" s="85"/>
      <c r="H106" s="85"/>
      <c r="R106" s="123"/>
      <c r="S106" s="122"/>
      <c r="T106" s="123"/>
      <c r="U106" s="123"/>
      <c r="V106" s="123"/>
      <c r="W106" s="123"/>
    </row>
    <row r="107">
      <c r="G107" s="85"/>
      <c r="H107" s="85"/>
      <c r="R107" s="123"/>
      <c r="S107" s="122"/>
      <c r="T107" s="123"/>
      <c r="U107" s="123"/>
      <c r="V107" s="123"/>
      <c r="W107" s="123"/>
    </row>
    <row r="108">
      <c r="G108" s="85"/>
      <c r="H108" s="85"/>
      <c r="R108" s="123"/>
      <c r="S108" s="122"/>
      <c r="T108" s="123"/>
      <c r="U108" s="123"/>
      <c r="V108" s="123"/>
      <c r="W108" s="123"/>
    </row>
    <row r="109">
      <c r="G109" s="85"/>
      <c r="H109" s="85"/>
      <c r="R109" s="123"/>
      <c r="S109" s="122"/>
      <c r="T109" s="123"/>
      <c r="U109" s="123"/>
      <c r="V109" s="123"/>
      <c r="W109" s="123"/>
    </row>
    <row r="110">
      <c r="G110" s="85"/>
      <c r="H110" s="85"/>
      <c r="R110" s="123"/>
      <c r="S110" s="122"/>
      <c r="T110" s="123"/>
      <c r="U110" s="123"/>
      <c r="V110" s="123"/>
      <c r="W110" s="123"/>
    </row>
    <row r="111">
      <c r="G111" s="85"/>
      <c r="H111" s="85"/>
      <c r="R111" s="123"/>
      <c r="S111" s="122"/>
      <c r="T111" s="123"/>
      <c r="U111" s="123"/>
      <c r="V111" s="123"/>
      <c r="W111" s="123"/>
    </row>
    <row r="112">
      <c r="G112" s="85"/>
      <c r="H112" s="85"/>
      <c r="R112" s="123"/>
      <c r="S112" s="122"/>
      <c r="T112" s="123"/>
      <c r="U112" s="123"/>
      <c r="V112" s="123"/>
      <c r="W112" s="123"/>
    </row>
    <row r="113">
      <c r="G113" s="85"/>
      <c r="H113" s="85"/>
      <c r="R113" s="123"/>
      <c r="S113" s="122"/>
      <c r="T113" s="123"/>
      <c r="U113" s="123"/>
      <c r="V113" s="123"/>
      <c r="W113" s="123"/>
    </row>
    <row r="114">
      <c r="G114" s="85"/>
      <c r="H114" s="85"/>
      <c r="R114" s="123"/>
      <c r="S114" s="122"/>
      <c r="T114" s="123"/>
      <c r="U114" s="123"/>
      <c r="V114" s="123"/>
      <c r="W114" s="123"/>
    </row>
    <row r="115">
      <c r="G115" s="85"/>
      <c r="H115" s="85"/>
      <c r="R115" s="123"/>
      <c r="S115" s="122"/>
      <c r="T115" s="123"/>
      <c r="U115" s="123"/>
      <c r="V115" s="123"/>
      <c r="W115" s="123"/>
    </row>
    <row r="116">
      <c r="G116" s="85"/>
      <c r="H116" s="85"/>
      <c r="R116" s="123"/>
      <c r="S116" s="122"/>
      <c r="T116" s="123"/>
      <c r="U116" s="123"/>
      <c r="V116" s="123"/>
      <c r="W116" s="123"/>
    </row>
    <row r="117">
      <c r="G117" s="85"/>
      <c r="H117" s="85"/>
      <c r="R117" s="123"/>
      <c r="S117" s="122"/>
      <c r="T117" s="123"/>
      <c r="U117" s="123"/>
      <c r="V117" s="123"/>
      <c r="W117" s="123"/>
    </row>
    <row r="118">
      <c r="G118" s="85"/>
      <c r="H118" s="85"/>
      <c r="R118" s="123"/>
      <c r="S118" s="122"/>
      <c r="T118" s="123"/>
      <c r="U118" s="123"/>
      <c r="V118" s="123"/>
      <c r="W118" s="123"/>
    </row>
    <row r="119">
      <c r="G119" s="85"/>
      <c r="H119" s="85"/>
      <c r="R119" s="123"/>
      <c r="S119" s="122"/>
      <c r="T119" s="123"/>
      <c r="U119" s="123"/>
      <c r="V119" s="123"/>
      <c r="W119" s="123"/>
    </row>
    <row r="120">
      <c r="G120" s="85"/>
      <c r="H120" s="85"/>
      <c r="R120" s="123"/>
      <c r="S120" s="122"/>
      <c r="T120" s="123"/>
      <c r="U120" s="123"/>
      <c r="V120" s="123"/>
      <c r="W120" s="123"/>
    </row>
    <row r="121">
      <c r="G121" s="85"/>
      <c r="H121" s="85"/>
      <c r="R121" s="123"/>
      <c r="S121" s="122"/>
      <c r="T121" s="123"/>
      <c r="U121" s="123"/>
      <c r="V121" s="123"/>
      <c r="W121" s="123"/>
    </row>
    <row r="122">
      <c r="G122" s="85"/>
      <c r="H122" s="85"/>
      <c r="R122" s="123"/>
      <c r="S122" s="122"/>
      <c r="T122" s="123"/>
      <c r="U122" s="123"/>
      <c r="V122" s="123"/>
      <c r="W122" s="123"/>
    </row>
    <row r="123">
      <c r="G123" s="85"/>
      <c r="H123" s="85"/>
      <c r="R123" s="123"/>
      <c r="S123" s="122"/>
      <c r="T123" s="123"/>
      <c r="U123" s="123"/>
      <c r="V123" s="123"/>
      <c r="W123" s="123"/>
    </row>
    <row r="124">
      <c r="G124" s="85"/>
      <c r="H124" s="85"/>
      <c r="R124" s="123"/>
      <c r="S124" s="122"/>
      <c r="T124" s="123"/>
      <c r="U124" s="123"/>
      <c r="V124" s="123"/>
      <c r="W124" s="123"/>
    </row>
    <row r="125">
      <c r="G125" s="85"/>
      <c r="H125" s="85"/>
      <c r="R125" s="123"/>
      <c r="S125" s="122"/>
      <c r="T125" s="123"/>
      <c r="U125" s="123"/>
      <c r="V125" s="123"/>
      <c r="W125" s="123"/>
    </row>
    <row r="126">
      <c r="G126" s="85"/>
      <c r="H126" s="85"/>
      <c r="R126" s="123"/>
      <c r="S126" s="122"/>
      <c r="T126" s="123"/>
      <c r="U126" s="123"/>
      <c r="V126" s="123"/>
      <c r="W126" s="123"/>
    </row>
    <row r="127">
      <c r="G127" s="85"/>
      <c r="H127" s="85"/>
      <c r="R127" s="123"/>
      <c r="S127" s="122"/>
      <c r="T127" s="123"/>
      <c r="U127" s="123"/>
      <c r="V127" s="123"/>
      <c r="W127" s="123"/>
    </row>
    <row r="128">
      <c r="G128" s="85"/>
      <c r="H128" s="85"/>
      <c r="R128" s="123"/>
      <c r="S128" s="122"/>
      <c r="T128" s="123"/>
      <c r="U128" s="123"/>
      <c r="V128" s="123"/>
      <c r="W128" s="123"/>
    </row>
    <row r="129">
      <c r="G129" s="85"/>
      <c r="H129" s="85"/>
      <c r="R129" s="123"/>
      <c r="S129" s="122"/>
      <c r="T129" s="123"/>
      <c r="U129" s="123"/>
      <c r="V129" s="123"/>
      <c r="W129" s="123"/>
    </row>
    <row r="130">
      <c r="G130" s="85"/>
      <c r="H130" s="85"/>
      <c r="R130" s="123"/>
      <c r="S130" s="122"/>
      <c r="T130" s="123"/>
      <c r="U130" s="123"/>
      <c r="V130" s="123"/>
      <c r="W130" s="123"/>
    </row>
    <row r="131">
      <c r="G131" s="85"/>
      <c r="H131" s="85"/>
      <c r="R131" s="123"/>
      <c r="S131" s="122"/>
      <c r="T131" s="123"/>
      <c r="U131" s="123"/>
      <c r="V131" s="123"/>
      <c r="W131" s="123"/>
    </row>
    <row r="132">
      <c r="G132" s="85"/>
      <c r="H132" s="85"/>
      <c r="R132" s="123"/>
      <c r="S132" s="122"/>
      <c r="T132" s="123"/>
      <c r="U132" s="123"/>
      <c r="V132" s="123"/>
      <c r="W132" s="123"/>
    </row>
    <row r="133">
      <c r="G133" s="85"/>
      <c r="H133" s="85"/>
      <c r="R133" s="123"/>
      <c r="S133" s="122"/>
      <c r="T133" s="123"/>
      <c r="U133" s="123"/>
      <c r="V133" s="123"/>
      <c r="W133" s="123"/>
    </row>
    <row r="134">
      <c r="G134" s="85"/>
      <c r="H134" s="85"/>
      <c r="R134" s="123"/>
      <c r="S134" s="122"/>
      <c r="T134" s="123"/>
      <c r="U134" s="123"/>
      <c r="V134" s="123"/>
      <c r="W134" s="123"/>
    </row>
    <row r="135">
      <c r="G135" s="85"/>
      <c r="H135" s="85"/>
      <c r="R135" s="123"/>
      <c r="S135" s="122"/>
      <c r="T135" s="123"/>
      <c r="U135" s="123"/>
      <c r="V135" s="123"/>
      <c r="W135" s="123"/>
    </row>
    <row r="136">
      <c r="G136" s="85"/>
      <c r="H136" s="85"/>
      <c r="R136" s="123"/>
      <c r="S136" s="122"/>
      <c r="T136" s="123"/>
      <c r="U136" s="123"/>
      <c r="V136" s="123"/>
      <c r="W136" s="123"/>
    </row>
    <row r="137">
      <c r="G137" s="85"/>
      <c r="H137" s="85"/>
      <c r="R137" s="123"/>
      <c r="S137" s="122"/>
      <c r="T137" s="123"/>
      <c r="U137" s="123"/>
      <c r="V137" s="123"/>
      <c r="W137" s="123"/>
    </row>
    <row r="138">
      <c r="G138" s="85"/>
      <c r="H138" s="85"/>
      <c r="R138" s="123"/>
      <c r="S138" s="122"/>
      <c r="T138" s="123"/>
      <c r="U138" s="123"/>
      <c r="V138" s="123"/>
      <c r="W138" s="123"/>
    </row>
    <row r="139">
      <c r="G139" s="85"/>
      <c r="H139" s="85"/>
      <c r="R139" s="123"/>
      <c r="S139" s="122"/>
      <c r="T139" s="123"/>
      <c r="U139" s="123"/>
      <c r="V139" s="123"/>
      <c r="W139" s="123"/>
    </row>
    <row r="140">
      <c r="G140" s="85"/>
      <c r="H140" s="85"/>
      <c r="R140" s="123"/>
      <c r="S140" s="122"/>
      <c r="T140" s="123"/>
      <c r="U140" s="123"/>
      <c r="V140" s="123"/>
      <c r="W140" s="123"/>
    </row>
    <row r="141">
      <c r="G141" s="85"/>
      <c r="H141" s="85"/>
      <c r="R141" s="123"/>
      <c r="S141" s="122"/>
      <c r="T141" s="123"/>
      <c r="U141" s="123"/>
      <c r="V141" s="123"/>
      <c r="W141" s="123"/>
    </row>
    <row r="142">
      <c r="G142" s="85"/>
      <c r="H142" s="85"/>
      <c r="R142" s="123"/>
      <c r="S142" s="122"/>
      <c r="T142" s="123"/>
      <c r="U142" s="123"/>
      <c r="V142" s="123"/>
      <c r="W142" s="123"/>
    </row>
    <row r="143">
      <c r="G143" s="85"/>
      <c r="H143" s="85"/>
      <c r="R143" s="123"/>
      <c r="S143" s="122"/>
      <c r="T143" s="123"/>
      <c r="U143" s="123"/>
      <c r="V143" s="123"/>
      <c r="W143" s="123"/>
    </row>
    <row r="144">
      <c r="G144" s="85"/>
      <c r="H144" s="85"/>
      <c r="R144" s="123"/>
      <c r="S144" s="122"/>
      <c r="T144" s="123"/>
      <c r="U144" s="123"/>
      <c r="V144" s="123"/>
      <c r="W144" s="123"/>
    </row>
    <row r="145">
      <c r="G145" s="85"/>
      <c r="H145" s="85"/>
      <c r="R145" s="123"/>
      <c r="S145" s="122"/>
      <c r="T145" s="123"/>
      <c r="U145" s="123"/>
      <c r="V145" s="123"/>
      <c r="W145" s="123"/>
    </row>
    <row r="146">
      <c r="G146" s="85"/>
      <c r="H146" s="85"/>
      <c r="R146" s="123"/>
      <c r="S146" s="122"/>
      <c r="T146" s="123"/>
      <c r="U146" s="123"/>
      <c r="V146" s="123"/>
      <c r="W146" s="123"/>
    </row>
    <row r="147">
      <c r="G147" s="85"/>
      <c r="H147" s="85"/>
      <c r="R147" s="123"/>
      <c r="S147" s="122"/>
      <c r="T147" s="123"/>
      <c r="U147" s="123"/>
      <c r="V147" s="123"/>
      <c r="W147" s="123"/>
    </row>
    <row r="148">
      <c r="G148" s="85"/>
      <c r="H148" s="85"/>
      <c r="R148" s="123"/>
      <c r="S148" s="122"/>
      <c r="T148" s="123"/>
      <c r="U148" s="123"/>
      <c r="V148" s="123"/>
      <c r="W148" s="123"/>
    </row>
    <row r="149">
      <c r="G149" s="85"/>
      <c r="H149" s="85"/>
      <c r="R149" s="123"/>
      <c r="S149" s="122"/>
      <c r="T149" s="123"/>
      <c r="U149" s="123"/>
      <c r="V149" s="123"/>
      <c r="W149" s="123"/>
    </row>
    <row r="150">
      <c r="G150" s="85"/>
      <c r="H150" s="85"/>
      <c r="R150" s="123"/>
      <c r="S150" s="122"/>
      <c r="T150" s="123"/>
      <c r="U150" s="123"/>
      <c r="V150" s="123"/>
      <c r="W150" s="123"/>
    </row>
    <row r="151">
      <c r="G151" s="85"/>
      <c r="H151" s="85"/>
      <c r="R151" s="123"/>
      <c r="S151" s="122"/>
      <c r="T151" s="123"/>
      <c r="U151" s="123"/>
      <c r="V151" s="123"/>
      <c r="W151" s="123"/>
    </row>
    <row r="152">
      <c r="G152" s="85"/>
      <c r="H152" s="85"/>
      <c r="R152" s="123"/>
      <c r="S152" s="122"/>
      <c r="T152" s="123"/>
      <c r="U152" s="123"/>
      <c r="V152" s="123"/>
      <c r="W152" s="123"/>
    </row>
    <row r="153">
      <c r="G153" s="85"/>
      <c r="H153" s="85"/>
      <c r="R153" s="123"/>
      <c r="S153" s="122"/>
      <c r="T153" s="123"/>
      <c r="U153" s="123"/>
      <c r="V153" s="123"/>
      <c r="W153" s="123"/>
    </row>
    <row r="154">
      <c r="G154" s="85"/>
      <c r="H154" s="85"/>
      <c r="R154" s="123"/>
      <c r="S154" s="122"/>
      <c r="T154" s="123"/>
      <c r="U154" s="123"/>
      <c r="V154" s="123"/>
      <c r="W154" s="123"/>
    </row>
    <row r="155">
      <c r="G155" s="85"/>
      <c r="H155" s="85"/>
      <c r="R155" s="123"/>
      <c r="S155" s="122"/>
      <c r="T155" s="123"/>
      <c r="U155" s="123"/>
      <c r="V155" s="123"/>
      <c r="W155" s="123"/>
    </row>
    <row r="156">
      <c r="G156" s="85"/>
      <c r="H156" s="85"/>
      <c r="R156" s="123"/>
      <c r="S156" s="122"/>
      <c r="T156" s="123"/>
      <c r="U156" s="123"/>
      <c r="V156" s="123"/>
      <c r="W156" s="123"/>
    </row>
    <row r="157">
      <c r="G157" s="85"/>
      <c r="H157" s="85"/>
      <c r="R157" s="123"/>
      <c r="S157" s="122"/>
      <c r="T157" s="123"/>
      <c r="U157" s="123"/>
      <c r="V157" s="123"/>
      <c r="W157" s="123"/>
    </row>
    <row r="158">
      <c r="G158" s="85"/>
      <c r="H158" s="85"/>
      <c r="R158" s="123"/>
      <c r="S158" s="122"/>
      <c r="T158" s="123"/>
      <c r="U158" s="123"/>
      <c r="V158" s="123"/>
      <c r="W158" s="123"/>
    </row>
    <row r="159">
      <c r="G159" s="85"/>
      <c r="H159" s="85"/>
      <c r="R159" s="123"/>
      <c r="S159" s="122"/>
      <c r="T159" s="123"/>
      <c r="U159" s="123"/>
      <c r="V159" s="123"/>
      <c r="W159" s="123"/>
    </row>
    <row r="160">
      <c r="G160" s="85"/>
      <c r="H160" s="85"/>
      <c r="R160" s="123"/>
      <c r="S160" s="122"/>
      <c r="T160" s="123"/>
      <c r="U160" s="123"/>
      <c r="V160" s="123"/>
      <c r="W160" s="123"/>
    </row>
    <row r="161">
      <c r="G161" s="85"/>
      <c r="H161" s="85"/>
      <c r="R161" s="123"/>
      <c r="S161" s="122"/>
      <c r="T161" s="123"/>
      <c r="U161" s="123"/>
      <c r="V161" s="123"/>
      <c r="W161" s="123"/>
    </row>
    <row r="162">
      <c r="G162" s="85"/>
      <c r="H162" s="85"/>
      <c r="R162" s="123"/>
      <c r="S162" s="122"/>
      <c r="T162" s="123"/>
      <c r="U162" s="123"/>
      <c r="V162" s="123"/>
      <c r="W162" s="123"/>
    </row>
    <row r="163">
      <c r="G163" s="85"/>
      <c r="H163" s="85"/>
      <c r="R163" s="123"/>
      <c r="S163" s="122"/>
      <c r="T163" s="123"/>
      <c r="U163" s="123"/>
      <c r="V163" s="123"/>
      <c r="W163" s="123"/>
    </row>
    <row r="164">
      <c r="G164" s="85"/>
      <c r="H164" s="85"/>
      <c r="R164" s="123"/>
      <c r="S164" s="122"/>
      <c r="T164" s="123"/>
      <c r="U164" s="123"/>
      <c r="V164" s="123"/>
      <c r="W164" s="123"/>
    </row>
    <row r="165">
      <c r="G165" s="85"/>
      <c r="H165" s="85"/>
      <c r="R165" s="123"/>
      <c r="S165" s="122"/>
      <c r="T165" s="123"/>
      <c r="U165" s="123"/>
      <c r="V165" s="123"/>
      <c r="W165" s="123"/>
    </row>
    <row r="166">
      <c r="G166" s="85"/>
      <c r="H166" s="85"/>
      <c r="R166" s="123"/>
      <c r="S166" s="122"/>
      <c r="T166" s="123"/>
      <c r="U166" s="123"/>
      <c r="V166" s="123"/>
      <c r="W166" s="123"/>
    </row>
    <row r="167">
      <c r="G167" s="85"/>
      <c r="H167" s="85"/>
      <c r="R167" s="123"/>
      <c r="S167" s="122"/>
      <c r="T167" s="123"/>
      <c r="U167" s="123"/>
      <c r="V167" s="123"/>
      <c r="W167" s="123"/>
    </row>
    <row r="168">
      <c r="G168" s="85"/>
      <c r="H168" s="85"/>
      <c r="R168" s="123"/>
      <c r="S168" s="122"/>
      <c r="T168" s="123"/>
      <c r="U168" s="123"/>
      <c r="V168" s="123"/>
      <c r="W168" s="123"/>
    </row>
    <row r="169">
      <c r="G169" s="85"/>
      <c r="H169" s="85"/>
      <c r="R169" s="123"/>
      <c r="S169" s="122"/>
      <c r="T169" s="123"/>
      <c r="U169" s="123"/>
      <c r="V169" s="123"/>
      <c r="W169" s="123"/>
    </row>
    <row r="170">
      <c r="G170" s="85"/>
      <c r="H170" s="85"/>
      <c r="R170" s="123"/>
      <c r="S170" s="122"/>
      <c r="T170" s="123"/>
      <c r="U170" s="123"/>
      <c r="V170" s="123"/>
      <c r="W170" s="123"/>
    </row>
    <row r="171">
      <c r="G171" s="85"/>
      <c r="H171" s="85"/>
      <c r="R171" s="123"/>
      <c r="S171" s="122"/>
      <c r="T171" s="123"/>
      <c r="U171" s="123"/>
      <c r="V171" s="123"/>
      <c r="W171" s="123"/>
    </row>
    <row r="172">
      <c r="G172" s="85"/>
      <c r="H172" s="85"/>
      <c r="R172" s="123"/>
      <c r="S172" s="122"/>
      <c r="T172" s="123"/>
      <c r="U172" s="123"/>
      <c r="V172" s="123"/>
      <c r="W172" s="123"/>
    </row>
    <row r="173">
      <c r="G173" s="85"/>
      <c r="H173" s="85"/>
      <c r="R173" s="123"/>
      <c r="S173" s="122"/>
      <c r="T173" s="123"/>
      <c r="U173" s="123"/>
      <c r="V173" s="123"/>
      <c r="W173" s="123"/>
    </row>
    <row r="174">
      <c r="G174" s="85"/>
      <c r="H174" s="85"/>
      <c r="R174" s="123"/>
      <c r="S174" s="122"/>
      <c r="T174" s="123"/>
      <c r="U174" s="123"/>
      <c r="V174" s="123"/>
      <c r="W174" s="123"/>
    </row>
    <row r="175">
      <c r="G175" s="85"/>
      <c r="H175" s="85"/>
      <c r="R175" s="123"/>
      <c r="S175" s="122"/>
      <c r="T175" s="123"/>
      <c r="U175" s="123"/>
      <c r="V175" s="123"/>
      <c r="W175" s="123"/>
    </row>
    <row r="176">
      <c r="G176" s="85"/>
      <c r="H176" s="85"/>
      <c r="R176" s="123"/>
      <c r="S176" s="122"/>
      <c r="T176" s="123"/>
      <c r="U176" s="123"/>
      <c r="V176" s="123"/>
      <c r="W176" s="123"/>
    </row>
    <row r="177">
      <c r="G177" s="85"/>
      <c r="H177" s="85"/>
      <c r="R177" s="123"/>
      <c r="S177" s="122"/>
      <c r="T177" s="123"/>
      <c r="U177" s="123"/>
      <c r="V177" s="123"/>
      <c r="W177" s="123"/>
    </row>
    <row r="178">
      <c r="G178" s="85"/>
      <c r="H178" s="85"/>
      <c r="R178" s="123"/>
      <c r="S178" s="122"/>
      <c r="T178" s="123"/>
      <c r="U178" s="123"/>
      <c r="V178" s="123"/>
      <c r="W178" s="123"/>
    </row>
    <row r="179">
      <c r="G179" s="85"/>
      <c r="H179" s="85"/>
      <c r="R179" s="123"/>
      <c r="S179" s="122"/>
      <c r="T179" s="123"/>
      <c r="U179" s="123"/>
      <c r="V179" s="123"/>
      <c r="W179" s="123"/>
    </row>
    <row r="180">
      <c r="G180" s="85"/>
      <c r="H180" s="85"/>
      <c r="R180" s="123"/>
      <c r="S180" s="122"/>
      <c r="T180" s="123"/>
      <c r="U180" s="123"/>
      <c r="V180" s="123"/>
      <c r="W180" s="123"/>
    </row>
    <row r="181">
      <c r="G181" s="85"/>
      <c r="H181" s="85"/>
      <c r="R181" s="123"/>
      <c r="S181" s="122"/>
      <c r="T181" s="123"/>
      <c r="U181" s="123"/>
      <c r="V181" s="123"/>
      <c r="W181" s="123"/>
    </row>
    <row r="182">
      <c r="G182" s="85"/>
      <c r="H182" s="85"/>
      <c r="R182" s="123"/>
      <c r="S182" s="122"/>
      <c r="T182" s="123"/>
      <c r="U182" s="123"/>
      <c r="V182" s="123"/>
      <c r="W182" s="123"/>
    </row>
    <row r="183">
      <c r="G183" s="85"/>
      <c r="H183" s="85"/>
      <c r="R183" s="123"/>
      <c r="S183" s="122"/>
      <c r="T183" s="123"/>
      <c r="U183" s="123"/>
      <c r="V183" s="123"/>
      <c r="W183" s="123"/>
    </row>
    <row r="184">
      <c r="G184" s="85"/>
      <c r="H184" s="85"/>
      <c r="R184" s="123"/>
      <c r="S184" s="122"/>
      <c r="T184" s="123"/>
      <c r="U184" s="123"/>
      <c r="V184" s="123"/>
      <c r="W184" s="123"/>
    </row>
    <row r="185">
      <c r="G185" s="85"/>
      <c r="H185" s="85"/>
      <c r="R185" s="123"/>
      <c r="S185" s="122"/>
      <c r="T185" s="123"/>
      <c r="U185" s="123"/>
      <c r="V185" s="123"/>
      <c r="W185" s="123"/>
    </row>
    <row r="186">
      <c r="G186" s="85"/>
      <c r="H186" s="85"/>
      <c r="R186" s="123"/>
      <c r="S186" s="122"/>
      <c r="T186" s="123"/>
      <c r="U186" s="123"/>
      <c r="V186" s="123"/>
      <c r="W186" s="123"/>
    </row>
    <row r="187">
      <c r="G187" s="85"/>
      <c r="H187" s="85"/>
      <c r="R187" s="123"/>
      <c r="S187" s="122"/>
      <c r="T187" s="123"/>
      <c r="U187" s="123"/>
      <c r="V187" s="123"/>
      <c r="W187" s="123"/>
    </row>
    <row r="188">
      <c r="G188" s="85"/>
      <c r="H188" s="85"/>
      <c r="R188" s="123"/>
      <c r="S188" s="122"/>
      <c r="T188" s="123"/>
      <c r="U188" s="123"/>
      <c r="V188" s="123"/>
      <c r="W188" s="123"/>
    </row>
    <row r="189">
      <c r="G189" s="85"/>
      <c r="H189" s="85"/>
      <c r="R189" s="123"/>
      <c r="S189" s="122"/>
      <c r="T189" s="123"/>
      <c r="U189" s="123"/>
      <c r="V189" s="123"/>
      <c r="W189" s="123"/>
    </row>
    <row r="190">
      <c r="G190" s="85"/>
      <c r="H190" s="85"/>
      <c r="R190" s="123"/>
      <c r="S190" s="122"/>
      <c r="T190" s="123"/>
      <c r="U190" s="123"/>
      <c r="V190" s="123"/>
      <c r="W190" s="123"/>
    </row>
    <row r="191">
      <c r="G191" s="85"/>
      <c r="H191" s="85"/>
      <c r="R191" s="123"/>
      <c r="S191" s="122"/>
      <c r="T191" s="123"/>
      <c r="U191" s="123"/>
      <c r="V191" s="123"/>
      <c r="W191" s="123"/>
    </row>
    <row r="192">
      <c r="G192" s="85"/>
      <c r="H192" s="85"/>
      <c r="R192" s="123"/>
      <c r="S192" s="122"/>
      <c r="T192" s="123"/>
      <c r="U192" s="123"/>
      <c r="V192" s="123"/>
      <c r="W192" s="123"/>
    </row>
    <row r="193">
      <c r="G193" s="85"/>
      <c r="H193" s="85"/>
      <c r="R193" s="123"/>
      <c r="S193" s="122"/>
      <c r="T193" s="123"/>
      <c r="U193" s="123"/>
      <c r="V193" s="123"/>
      <c r="W193" s="123"/>
    </row>
    <row r="194">
      <c r="G194" s="85"/>
      <c r="H194" s="85"/>
      <c r="R194" s="123"/>
      <c r="S194" s="122"/>
      <c r="T194" s="123"/>
      <c r="U194" s="123"/>
      <c r="V194" s="123"/>
      <c r="W194" s="123"/>
    </row>
    <row r="195">
      <c r="G195" s="85"/>
      <c r="H195" s="85"/>
      <c r="R195" s="123"/>
      <c r="S195" s="122"/>
      <c r="T195" s="123"/>
      <c r="U195" s="123"/>
      <c r="V195" s="123"/>
      <c r="W195" s="123"/>
    </row>
    <row r="196">
      <c r="G196" s="85"/>
      <c r="H196" s="85"/>
      <c r="R196" s="123"/>
      <c r="S196" s="122"/>
      <c r="T196" s="123"/>
      <c r="U196" s="123"/>
      <c r="V196" s="123"/>
      <c r="W196" s="123"/>
    </row>
    <row r="197">
      <c r="G197" s="85"/>
      <c r="H197" s="85"/>
      <c r="R197" s="123"/>
      <c r="S197" s="122"/>
      <c r="T197" s="123"/>
      <c r="U197" s="123"/>
      <c r="V197" s="123"/>
      <c r="W197" s="123"/>
    </row>
    <row r="198">
      <c r="G198" s="85"/>
      <c r="H198" s="85"/>
      <c r="R198" s="123"/>
      <c r="S198" s="122"/>
      <c r="T198" s="123"/>
      <c r="U198" s="123"/>
      <c r="V198" s="123"/>
      <c r="W198" s="123"/>
    </row>
    <row r="199">
      <c r="G199" s="85"/>
      <c r="H199" s="85"/>
      <c r="R199" s="123"/>
      <c r="S199" s="122"/>
      <c r="T199" s="123"/>
      <c r="U199" s="123"/>
      <c r="V199" s="123"/>
      <c r="W199" s="123"/>
    </row>
    <row r="200">
      <c r="G200" s="85"/>
      <c r="H200" s="85"/>
      <c r="R200" s="123"/>
      <c r="S200" s="122"/>
      <c r="T200" s="123"/>
      <c r="U200" s="123"/>
      <c r="V200" s="123"/>
      <c r="W200" s="123"/>
    </row>
    <row r="201">
      <c r="G201" s="85"/>
      <c r="H201" s="85"/>
      <c r="R201" s="123"/>
      <c r="S201" s="122"/>
      <c r="T201" s="123"/>
      <c r="U201" s="123"/>
      <c r="V201" s="123"/>
      <c r="W201" s="123"/>
    </row>
    <row r="202">
      <c r="G202" s="85"/>
      <c r="H202" s="85"/>
      <c r="R202" s="123"/>
      <c r="S202" s="122"/>
      <c r="T202" s="123"/>
      <c r="U202" s="123"/>
      <c r="V202" s="123"/>
      <c r="W202" s="123"/>
    </row>
    <row r="203">
      <c r="G203" s="85"/>
      <c r="H203" s="85"/>
      <c r="R203" s="123"/>
      <c r="S203" s="122"/>
      <c r="T203" s="123"/>
      <c r="U203" s="123"/>
      <c r="V203" s="123"/>
      <c r="W203" s="123"/>
    </row>
    <row r="204">
      <c r="G204" s="85"/>
      <c r="H204" s="85"/>
      <c r="R204" s="123"/>
      <c r="S204" s="122"/>
      <c r="T204" s="123"/>
      <c r="U204" s="123"/>
      <c r="V204" s="123"/>
      <c r="W204" s="123"/>
    </row>
    <row r="205">
      <c r="G205" s="85"/>
      <c r="H205" s="85"/>
      <c r="R205" s="123"/>
      <c r="S205" s="122"/>
      <c r="T205" s="123"/>
      <c r="U205" s="123"/>
      <c r="V205" s="123"/>
      <c r="W205" s="123"/>
    </row>
    <row r="206">
      <c r="G206" s="85"/>
      <c r="H206" s="85"/>
      <c r="R206" s="123"/>
      <c r="S206" s="122"/>
      <c r="T206" s="123"/>
      <c r="U206" s="123"/>
      <c r="V206" s="123"/>
      <c r="W206" s="123"/>
    </row>
    <row r="207">
      <c r="G207" s="85"/>
      <c r="H207" s="85"/>
      <c r="R207" s="123"/>
      <c r="S207" s="122"/>
      <c r="T207" s="123"/>
      <c r="U207" s="123"/>
      <c r="V207" s="123"/>
      <c r="W207" s="123"/>
    </row>
    <row r="208">
      <c r="G208" s="85"/>
      <c r="H208" s="85"/>
      <c r="R208" s="123"/>
      <c r="S208" s="122"/>
      <c r="T208" s="123"/>
      <c r="U208" s="123"/>
      <c r="V208" s="123"/>
      <c r="W208" s="123"/>
    </row>
    <row r="209">
      <c r="G209" s="85"/>
      <c r="H209" s="85"/>
      <c r="R209" s="123"/>
      <c r="S209" s="122"/>
      <c r="T209" s="123"/>
      <c r="U209" s="123"/>
      <c r="V209" s="123"/>
      <c r="W209" s="123"/>
    </row>
    <row r="210">
      <c r="G210" s="85"/>
      <c r="H210" s="85"/>
      <c r="R210" s="123"/>
      <c r="S210" s="122"/>
      <c r="T210" s="123"/>
      <c r="U210" s="123"/>
      <c r="V210" s="123"/>
      <c r="W210" s="123"/>
    </row>
    <row r="211">
      <c r="G211" s="85"/>
      <c r="H211" s="85"/>
      <c r="R211" s="123"/>
      <c r="S211" s="122"/>
      <c r="T211" s="123"/>
      <c r="U211" s="123"/>
      <c r="V211" s="123"/>
      <c r="W211" s="123"/>
    </row>
    <row r="212">
      <c r="G212" s="85"/>
      <c r="H212" s="85"/>
      <c r="R212" s="123"/>
      <c r="S212" s="122"/>
      <c r="T212" s="123"/>
      <c r="U212" s="123"/>
      <c r="V212" s="123"/>
      <c r="W212" s="123"/>
    </row>
    <row r="213">
      <c r="G213" s="85"/>
      <c r="H213" s="85"/>
      <c r="R213" s="123"/>
      <c r="S213" s="122"/>
      <c r="T213" s="123"/>
      <c r="U213" s="123"/>
      <c r="V213" s="123"/>
      <c r="W213" s="123"/>
    </row>
    <row r="214">
      <c r="G214" s="85"/>
      <c r="H214" s="85"/>
      <c r="R214" s="123"/>
      <c r="S214" s="122"/>
      <c r="T214" s="123"/>
      <c r="U214" s="123"/>
      <c r="V214" s="123"/>
      <c r="W214" s="123"/>
    </row>
    <row r="215">
      <c r="G215" s="85"/>
      <c r="H215" s="85"/>
      <c r="R215" s="123"/>
      <c r="S215" s="122"/>
      <c r="T215" s="123"/>
      <c r="U215" s="123"/>
      <c r="V215" s="123"/>
      <c r="W215" s="123"/>
    </row>
    <row r="216">
      <c r="G216" s="85"/>
      <c r="H216" s="85"/>
      <c r="R216" s="123"/>
      <c r="S216" s="122"/>
      <c r="T216" s="123"/>
      <c r="U216" s="123"/>
      <c r="V216" s="123"/>
      <c r="W216" s="123"/>
    </row>
    <row r="217">
      <c r="G217" s="85"/>
      <c r="H217" s="85"/>
      <c r="R217" s="123"/>
      <c r="S217" s="122"/>
      <c r="T217" s="123"/>
      <c r="U217" s="123"/>
      <c r="V217" s="123"/>
      <c r="W217" s="123"/>
    </row>
    <row r="218">
      <c r="G218" s="85"/>
      <c r="H218" s="85"/>
      <c r="R218" s="123"/>
      <c r="S218" s="122"/>
      <c r="T218" s="123"/>
      <c r="U218" s="123"/>
      <c r="V218" s="123"/>
      <c r="W218" s="123"/>
    </row>
    <row r="219">
      <c r="G219" s="85"/>
      <c r="H219" s="85"/>
      <c r="R219" s="123"/>
      <c r="S219" s="122"/>
      <c r="T219" s="123"/>
      <c r="U219" s="123"/>
      <c r="V219" s="123"/>
      <c r="W219" s="123"/>
    </row>
    <row r="220">
      <c r="G220" s="85"/>
      <c r="H220" s="85"/>
      <c r="R220" s="123"/>
      <c r="S220" s="122"/>
      <c r="T220" s="123"/>
      <c r="U220" s="123"/>
      <c r="V220" s="123"/>
      <c r="W220" s="123"/>
    </row>
    <row r="221">
      <c r="G221" s="85"/>
      <c r="H221" s="85"/>
      <c r="R221" s="123"/>
      <c r="S221" s="122"/>
      <c r="T221" s="123"/>
      <c r="U221" s="123"/>
      <c r="V221" s="123"/>
      <c r="W221" s="123"/>
    </row>
    <row r="222">
      <c r="G222" s="85"/>
      <c r="H222" s="85"/>
      <c r="R222" s="123"/>
      <c r="S222" s="122"/>
      <c r="T222" s="123"/>
      <c r="U222" s="123"/>
      <c r="V222" s="123"/>
      <c r="W222" s="123"/>
    </row>
    <row r="223">
      <c r="G223" s="85"/>
      <c r="H223" s="85"/>
      <c r="R223" s="123"/>
      <c r="S223" s="122"/>
      <c r="T223" s="123"/>
      <c r="U223" s="123"/>
      <c r="V223" s="123"/>
      <c r="W223" s="123"/>
    </row>
    <row r="224">
      <c r="G224" s="85"/>
      <c r="H224" s="85"/>
      <c r="R224" s="123"/>
      <c r="S224" s="122"/>
      <c r="T224" s="123"/>
      <c r="U224" s="123"/>
      <c r="V224" s="123"/>
      <c r="W224" s="123"/>
    </row>
    <row r="225">
      <c r="G225" s="85"/>
      <c r="H225" s="85"/>
      <c r="R225" s="123"/>
      <c r="S225" s="122"/>
      <c r="T225" s="123"/>
      <c r="U225" s="123"/>
      <c r="V225" s="123"/>
      <c r="W225" s="123"/>
    </row>
    <row r="226">
      <c r="G226" s="85"/>
      <c r="H226" s="85"/>
      <c r="R226" s="123"/>
      <c r="S226" s="122"/>
      <c r="T226" s="123"/>
      <c r="U226" s="123"/>
      <c r="V226" s="123"/>
      <c r="W226" s="123"/>
    </row>
    <row r="227">
      <c r="G227" s="85"/>
      <c r="H227" s="85"/>
      <c r="R227" s="123"/>
      <c r="S227" s="122"/>
      <c r="T227" s="123"/>
      <c r="U227" s="123"/>
      <c r="V227" s="123"/>
      <c r="W227" s="123"/>
    </row>
    <row r="228">
      <c r="G228" s="85"/>
      <c r="H228" s="85"/>
      <c r="R228" s="123"/>
      <c r="S228" s="122"/>
      <c r="T228" s="123"/>
      <c r="U228" s="123"/>
      <c r="V228" s="123"/>
      <c r="W228" s="123"/>
    </row>
    <row r="229">
      <c r="G229" s="85"/>
      <c r="H229" s="85"/>
      <c r="R229" s="123"/>
      <c r="S229" s="122"/>
      <c r="T229" s="123"/>
      <c r="U229" s="123"/>
      <c r="V229" s="123"/>
      <c r="W229" s="123"/>
    </row>
    <row r="230">
      <c r="G230" s="85"/>
      <c r="H230" s="85"/>
      <c r="R230" s="123"/>
      <c r="S230" s="122"/>
      <c r="T230" s="123"/>
      <c r="U230" s="123"/>
      <c r="V230" s="123"/>
      <c r="W230" s="123"/>
    </row>
    <row r="231">
      <c r="G231" s="85"/>
      <c r="H231" s="85"/>
      <c r="R231" s="123"/>
      <c r="S231" s="122"/>
      <c r="T231" s="123"/>
      <c r="U231" s="123"/>
      <c r="V231" s="123"/>
      <c r="W231" s="123"/>
    </row>
    <row r="232">
      <c r="G232" s="85"/>
      <c r="H232" s="85"/>
      <c r="R232" s="123"/>
      <c r="S232" s="122"/>
      <c r="T232" s="123"/>
      <c r="U232" s="123"/>
      <c r="V232" s="123"/>
      <c r="W232" s="123"/>
    </row>
    <row r="233">
      <c r="G233" s="85"/>
      <c r="H233" s="85"/>
      <c r="R233" s="123"/>
      <c r="S233" s="122"/>
      <c r="T233" s="123"/>
      <c r="U233" s="123"/>
      <c r="V233" s="123"/>
      <c r="W233" s="123"/>
    </row>
    <row r="234">
      <c r="G234" s="85"/>
      <c r="H234" s="85"/>
      <c r="R234" s="123"/>
      <c r="S234" s="122"/>
      <c r="T234" s="123"/>
      <c r="U234" s="123"/>
      <c r="V234" s="123"/>
      <c r="W234" s="123"/>
    </row>
    <row r="235">
      <c r="G235" s="85"/>
      <c r="H235" s="85"/>
      <c r="R235" s="123"/>
      <c r="S235" s="122"/>
      <c r="T235" s="123"/>
      <c r="U235" s="123"/>
      <c r="V235" s="123"/>
      <c r="W235" s="123"/>
    </row>
    <row r="236">
      <c r="G236" s="85"/>
      <c r="H236" s="85"/>
      <c r="R236" s="123"/>
      <c r="S236" s="122"/>
      <c r="T236" s="123"/>
      <c r="U236" s="123"/>
      <c r="V236" s="123"/>
      <c r="W236" s="123"/>
    </row>
    <row r="237">
      <c r="G237" s="85"/>
      <c r="H237" s="85"/>
      <c r="R237" s="123"/>
      <c r="S237" s="122"/>
      <c r="T237" s="123"/>
      <c r="U237" s="123"/>
      <c r="V237" s="123"/>
      <c r="W237" s="123"/>
    </row>
    <row r="238">
      <c r="G238" s="85"/>
      <c r="H238" s="85"/>
      <c r="R238" s="123"/>
      <c r="S238" s="122"/>
      <c r="T238" s="123"/>
      <c r="U238" s="123"/>
      <c r="V238" s="123"/>
      <c r="W238" s="123"/>
    </row>
    <row r="239">
      <c r="G239" s="85"/>
      <c r="H239" s="85"/>
      <c r="R239" s="123"/>
      <c r="S239" s="122"/>
      <c r="T239" s="123"/>
      <c r="U239" s="123"/>
      <c r="V239" s="123"/>
      <c r="W239" s="123"/>
    </row>
    <row r="240">
      <c r="G240" s="85"/>
      <c r="H240" s="85"/>
      <c r="R240" s="123"/>
      <c r="S240" s="122"/>
      <c r="T240" s="123"/>
      <c r="U240" s="123"/>
      <c r="V240" s="123"/>
      <c r="W240" s="123"/>
    </row>
    <row r="241">
      <c r="G241" s="85"/>
      <c r="H241" s="85"/>
      <c r="R241" s="123"/>
      <c r="S241" s="122"/>
      <c r="T241" s="123"/>
      <c r="U241" s="123"/>
      <c r="V241" s="123"/>
      <c r="W241" s="123"/>
    </row>
    <row r="242">
      <c r="G242" s="85"/>
      <c r="H242" s="85"/>
      <c r="R242" s="123"/>
      <c r="S242" s="122"/>
      <c r="T242" s="123"/>
      <c r="U242" s="123"/>
      <c r="V242" s="123"/>
      <c r="W242" s="123"/>
    </row>
    <row r="243">
      <c r="G243" s="85"/>
      <c r="H243" s="85"/>
      <c r="R243" s="123"/>
      <c r="S243" s="122"/>
      <c r="T243" s="123"/>
      <c r="U243" s="123"/>
      <c r="V243" s="123"/>
      <c r="W243" s="123"/>
    </row>
    <row r="244">
      <c r="G244" s="85"/>
      <c r="H244" s="85"/>
      <c r="R244" s="123"/>
      <c r="S244" s="122"/>
      <c r="T244" s="123"/>
      <c r="U244" s="123"/>
      <c r="V244" s="123"/>
      <c r="W244" s="123"/>
    </row>
    <row r="245">
      <c r="G245" s="85"/>
      <c r="H245" s="85"/>
      <c r="R245" s="123"/>
      <c r="S245" s="122"/>
      <c r="T245" s="123"/>
      <c r="U245" s="123"/>
      <c r="V245" s="123"/>
      <c r="W245" s="123"/>
    </row>
    <row r="246">
      <c r="G246" s="85"/>
      <c r="H246" s="85"/>
      <c r="R246" s="123"/>
      <c r="S246" s="122"/>
      <c r="T246" s="123"/>
      <c r="U246" s="123"/>
      <c r="V246" s="123"/>
      <c r="W246" s="123"/>
    </row>
    <row r="247">
      <c r="G247" s="85"/>
      <c r="H247" s="85"/>
      <c r="R247" s="123"/>
      <c r="S247" s="122"/>
      <c r="T247" s="123"/>
      <c r="U247" s="123"/>
      <c r="V247" s="123"/>
      <c r="W247" s="123"/>
    </row>
    <row r="248">
      <c r="G248" s="85"/>
      <c r="H248" s="85"/>
      <c r="R248" s="123"/>
      <c r="S248" s="122"/>
      <c r="T248" s="123"/>
      <c r="U248" s="123"/>
      <c r="V248" s="123"/>
      <c r="W248" s="123"/>
    </row>
    <row r="249">
      <c r="G249" s="85"/>
      <c r="H249" s="85"/>
      <c r="R249" s="123"/>
      <c r="S249" s="122"/>
      <c r="T249" s="123"/>
      <c r="U249" s="123"/>
      <c r="V249" s="123"/>
      <c r="W249" s="123"/>
    </row>
    <row r="250">
      <c r="G250" s="85"/>
      <c r="H250" s="85"/>
      <c r="R250" s="123"/>
      <c r="S250" s="122"/>
      <c r="T250" s="123"/>
      <c r="U250" s="123"/>
      <c r="V250" s="123"/>
      <c r="W250" s="123"/>
    </row>
    <row r="251">
      <c r="G251" s="85"/>
      <c r="H251" s="85"/>
      <c r="R251" s="123"/>
      <c r="S251" s="122"/>
      <c r="T251" s="123"/>
      <c r="U251" s="123"/>
      <c r="V251" s="123"/>
      <c r="W251" s="123"/>
    </row>
    <row r="252">
      <c r="G252" s="85"/>
      <c r="H252" s="85"/>
      <c r="R252" s="123"/>
      <c r="S252" s="122"/>
      <c r="T252" s="123"/>
      <c r="U252" s="123"/>
      <c r="V252" s="123"/>
      <c r="W252" s="123"/>
    </row>
    <row r="253">
      <c r="G253" s="85"/>
      <c r="H253" s="85"/>
      <c r="R253" s="123"/>
      <c r="S253" s="122"/>
      <c r="T253" s="123"/>
      <c r="U253" s="123"/>
      <c r="V253" s="123"/>
      <c r="W253" s="123"/>
    </row>
    <row r="254">
      <c r="G254" s="85"/>
      <c r="H254" s="85"/>
      <c r="R254" s="123"/>
      <c r="S254" s="122"/>
      <c r="T254" s="123"/>
      <c r="U254" s="123"/>
      <c r="V254" s="123"/>
      <c r="W254" s="123"/>
    </row>
    <row r="255">
      <c r="G255" s="85"/>
      <c r="H255" s="85"/>
      <c r="R255" s="123"/>
      <c r="S255" s="122"/>
      <c r="T255" s="123"/>
      <c r="U255" s="123"/>
      <c r="V255" s="123"/>
      <c r="W255" s="123"/>
    </row>
    <row r="256">
      <c r="G256" s="85"/>
      <c r="H256" s="85"/>
      <c r="R256" s="123"/>
      <c r="S256" s="122"/>
      <c r="T256" s="123"/>
      <c r="U256" s="123"/>
      <c r="V256" s="123"/>
      <c r="W256" s="123"/>
    </row>
    <row r="257">
      <c r="G257" s="85"/>
      <c r="H257" s="85"/>
      <c r="R257" s="123"/>
      <c r="S257" s="122"/>
      <c r="T257" s="123"/>
      <c r="U257" s="123"/>
      <c r="V257" s="123"/>
      <c r="W257" s="123"/>
    </row>
    <row r="258">
      <c r="G258" s="85"/>
      <c r="H258" s="85"/>
      <c r="R258" s="123"/>
      <c r="S258" s="122"/>
      <c r="T258" s="123"/>
      <c r="U258" s="123"/>
      <c r="V258" s="123"/>
      <c r="W258" s="123"/>
    </row>
    <row r="259">
      <c r="G259" s="85"/>
      <c r="H259" s="85"/>
      <c r="R259" s="123"/>
      <c r="S259" s="122"/>
      <c r="T259" s="123"/>
      <c r="U259" s="123"/>
      <c r="V259" s="123"/>
      <c r="W259" s="123"/>
    </row>
    <row r="260">
      <c r="G260" s="85"/>
      <c r="H260" s="85"/>
      <c r="R260" s="123"/>
      <c r="S260" s="122"/>
      <c r="T260" s="123"/>
      <c r="U260" s="123"/>
      <c r="V260" s="123"/>
      <c r="W260" s="123"/>
    </row>
    <row r="261">
      <c r="G261" s="85"/>
      <c r="H261" s="85"/>
      <c r="R261" s="123"/>
      <c r="S261" s="122"/>
      <c r="T261" s="123"/>
      <c r="U261" s="123"/>
      <c r="V261" s="123"/>
      <c r="W261" s="123"/>
    </row>
    <row r="262">
      <c r="G262" s="85"/>
      <c r="H262" s="85"/>
      <c r="R262" s="123"/>
      <c r="S262" s="122"/>
      <c r="T262" s="123"/>
      <c r="U262" s="123"/>
      <c r="V262" s="123"/>
      <c r="W262" s="123"/>
    </row>
    <row r="263">
      <c r="G263" s="85"/>
      <c r="H263" s="85"/>
      <c r="R263" s="123"/>
      <c r="S263" s="122"/>
      <c r="T263" s="123"/>
      <c r="U263" s="123"/>
      <c r="V263" s="123"/>
      <c r="W263" s="123"/>
    </row>
    <row r="264">
      <c r="G264" s="85"/>
      <c r="H264" s="85"/>
      <c r="R264" s="123"/>
      <c r="S264" s="122"/>
      <c r="T264" s="123"/>
      <c r="U264" s="123"/>
      <c r="V264" s="123"/>
      <c r="W264" s="123"/>
    </row>
    <row r="265">
      <c r="G265" s="85"/>
      <c r="H265" s="85"/>
      <c r="R265" s="123"/>
      <c r="S265" s="122"/>
      <c r="T265" s="123"/>
      <c r="U265" s="123"/>
      <c r="V265" s="123"/>
      <c r="W265" s="123"/>
    </row>
    <row r="266">
      <c r="G266" s="85"/>
      <c r="H266" s="85"/>
      <c r="R266" s="123"/>
      <c r="S266" s="122"/>
      <c r="T266" s="123"/>
      <c r="U266" s="123"/>
      <c r="V266" s="123"/>
      <c r="W266" s="123"/>
    </row>
    <row r="267">
      <c r="G267" s="85"/>
      <c r="H267" s="85"/>
      <c r="R267" s="123"/>
      <c r="S267" s="122"/>
      <c r="T267" s="123"/>
      <c r="U267" s="123"/>
      <c r="V267" s="123"/>
      <c r="W267" s="123"/>
    </row>
    <row r="268">
      <c r="G268" s="85"/>
      <c r="H268" s="85"/>
      <c r="R268" s="123"/>
      <c r="S268" s="122"/>
      <c r="T268" s="123"/>
      <c r="U268" s="123"/>
      <c r="V268" s="123"/>
      <c r="W268" s="123"/>
    </row>
    <row r="269">
      <c r="G269" s="85"/>
      <c r="H269" s="85"/>
      <c r="R269" s="123"/>
      <c r="S269" s="122"/>
      <c r="T269" s="123"/>
      <c r="U269" s="123"/>
      <c r="V269" s="123"/>
      <c r="W269" s="123"/>
    </row>
    <row r="270">
      <c r="G270" s="85"/>
      <c r="H270" s="85"/>
      <c r="R270" s="123"/>
      <c r="S270" s="122"/>
      <c r="T270" s="123"/>
      <c r="U270" s="123"/>
      <c r="V270" s="123"/>
      <c r="W270" s="123"/>
    </row>
    <row r="271">
      <c r="G271" s="85"/>
      <c r="H271" s="85"/>
      <c r="R271" s="123"/>
      <c r="S271" s="122"/>
      <c r="T271" s="123"/>
      <c r="U271" s="123"/>
      <c r="V271" s="123"/>
      <c r="W271" s="123"/>
    </row>
    <row r="272">
      <c r="G272" s="85"/>
      <c r="H272" s="85"/>
      <c r="R272" s="123"/>
      <c r="S272" s="122"/>
      <c r="T272" s="123"/>
      <c r="U272" s="123"/>
      <c r="V272" s="123"/>
      <c r="W272" s="123"/>
    </row>
    <row r="273">
      <c r="G273" s="85"/>
      <c r="H273" s="85"/>
      <c r="R273" s="123"/>
      <c r="S273" s="122"/>
      <c r="T273" s="123"/>
      <c r="U273" s="123"/>
      <c r="V273" s="123"/>
      <c r="W273" s="123"/>
    </row>
    <row r="274">
      <c r="G274" s="85"/>
      <c r="H274" s="85"/>
      <c r="R274" s="123"/>
      <c r="S274" s="122"/>
      <c r="T274" s="123"/>
      <c r="U274" s="123"/>
      <c r="V274" s="123"/>
      <c r="W274" s="123"/>
    </row>
    <row r="275">
      <c r="G275" s="85"/>
      <c r="H275" s="85"/>
      <c r="R275" s="123"/>
      <c r="S275" s="122"/>
      <c r="T275" s="123"/>
      <c r="U275" s="123"/>
      <c r="V275" s="123"/>
      <c r="W275" s="123"/>
    </row>
    <row r="276">
      <c r="G276" s="85"/>
      <c r="H276" s="85"/>
      <c r="R276" s="123"/>
      <c r="S276" s="122"/>
      <c r="T276" s="123"/>
      <c r="U276" s="123"/>
      <c r="V276" s="123"/>
      <c r="W276" s="123"/>
    </row>
    <row r="277">
      <c r="G277" s="85"/>
      <c r="H277" s="85"/>
      <c r="R277" s="123"/>
      <c r="S277" s="122"/>
      <c r="T277" s="123"/>
      <c r="U277" s="123"/>
      <c r="V277" s="123"/>
      <c r="W277" s="123"/>
    </row>
    <row r="278">
      <c r="G278" s="85"/>
      <c r="H278" s="85"/>
      <c r="R278" s="123"/>
      <c r="S278" s="122"/>
      <c r="T278" s="123"/>
      <c r="U278" s="123"/>
      <c r="V278" s="123"/>
      <c r="W278" s="123"/>
    </row>
    <row r="279">
      <c r="G279" s="85"/>
      <c r="H279" s="85"/>
      <c r="R279" s="123"/>
      <c r="S279" s="122"/>
      <c r="T279" s="123"/>
      <c r="U279" s="123"/>
      <c r="V279" s="123"/>
      <c r="W279" s="123"/>
    </row>
    <row r="280">
      <c r="G280" s="85"/>
      <c r="H280" s="85"/>
      <c r="R280" s="123"/>
      <c r="S280" s="122"/>
      <c r="T280" s="123"/>
      <c r="U280" s="123"/>
      <c r="V280" s="123"/>
      <c r="W280" s="123"/>
    </row>
    <row r="281">
      <c r="G281" s="85"/>
      <c r="H281" s="85"/>
      <c r="R281" s="123"/>
      <c r="S281" s="122"/>
      <c r="T281" s="123"/>
      <c r="U281" s="123"/>
      <c r="V281" s="123"/>
      <c r="W281" s="123"/>
    </row>
    <row r="282">
      <c r="G282" s="85"/>
      <c r="H282" s="85"/>
      <c r="R282" s="123"/>
      <c r="S282" s="122"/>
      <c r="T282" s="123"/>
      <c r="U282" s="123"/>
      <c r="V282" s="123"/>
      <c r="W282" s="123"/>
    </row>
    <row r="283">
      <c r="G283" s="85"/>
      <c r="H283" s="85"/>
      <c r="R283" s="123"/>
      <c r="S283" s="122"/>
      <c r="T283" s="123"/>
      <c r="U283" s="123"/>
      <c r="V283" s="123"/>
      <c r="W283" s="123"/>
    </row>
    <row r="284">
      <c r="G284" s="85"/>
      <c r="H284" s="85"/>
      <c r="R284" s="123"/>
      <c r="S284" s="122"/>
      <c r="T284" s="123"/>
      <c r="U284" s="123"/>
      <c r="V284" s="123"/>
      <c r="W284" s="123"/>
    </row>
    <row r="285">
      <c r="G285" s="85"/>
      <c r="H285" s="85"/>
      <c r="R285" s="123"/>
      <c r="S285" s="122"/>
      <c r="T285" s="123"/>
      <c r="U285" s="123"/>
      <c r="V285" s="123"/>
      <c r="W285" s="123"/>
    </row>
    <row r="286">
      <c r="G286" s="85"/>
      <c r="H286" s="85"/>
      <c r="R286" s="123"/>
      <c r="S286" s="122"/>
      <c r="T286" s="123"/>
      <c r="U286" s="123"/>
      <c r="V286" s="123"/>
      <c r="W286" s="123"/>
    </row>
    <row r="287">
      <c r="G287" s="85"/>
      <c r="H287" s="85"/>
      <c r="R287" s="123"/>
      <c r="S287" s="122"/>
      <c r="T287" s="123"/>
      <c r="U287" s="123"/>
      <c r="V287" s="123"/>
      <c r="W287" s="123"/>
    </row>
    <row r="288">
      <c r="G288" s="85"/>
      <c r="H288" s="85"/>
      <c r="R288" s="123"/>
      <c r="S288" s="122"/>
      <c r="T288" s="123"/>
      <c r="U288" s="123"/>
      <c r="V288" s="123"/>
      <c r="W288" s="123"/>
    </row>
    <row r="289">
      <c r="G289" s="85"/>
      <c r="H289" s="85"/>
      <c r="R289" s="123"/>
      <c r="S289" s="122"/>
      <c r="T289" s="123"/>
      <c r="U289" s="123"/>
      <c r="V289" s="123"/>
      <c r="W289" s="123"/>
    </row>
    <row r="290">
      <c r="G290" s="85"/>
      <c r="H290" s="85"/>
      <c r="R290" s="123"/>
      <c r="S290" s="122"/>
      <c r="T290" s="123"/>
      <c r="U290" s="123"/>
      <c r="V290" s="123"/>
      <c r="W290" s="123"/>
    </row>
    <row r="291">
      <c r="G291" s="85"/>
      <c r="H291" s="85"/>
      <c r="R291" s="123"/>
      <c r="S291" s="122"/>
      <c r="T291" s="123"/>
      <c r="U291" s="123"/>
      <c r="V291" s="123"/>
      <c r="W291" s="123"/>
    </row>
    <row r="292">
      <c r="G292" s="85"/>
      <c r="H292" s="85"/>
      <c r="R292" s="123"/>
      <c r="S292" s="122"/>
      <c r="T292" s="123"/>
      <c r="U292" s="123"/>
      <c r="V292" s="123"/>
      <c r="W292" s="123"/>
    </row>
    <row r="293">
      <c r="G293" s="85"/>
      <c r="H293" s="85"/>
      <c r="R293" s="123"/>
      <c r="S293" s="122"/>
      <c r="T293" s="123"/>
      <c r="U293" s="123"/>
      <c r="V293" s="123"/>
      <c r="W293" s="123"/>
    </row>
    <row r="294">
      <c r="G294" s="85"/>
      <c r="H294" s="85"/>
      <c r="R294" s="123"/>
      <c r="S294" s="122"/>
      <c r="T294" s="123"/>
      <c r="U294" s="123"/>
      <c r="V294" s="123"/>
      <c r="W294" s="123"/>
    </row>
    <row r="295">
      <c r="G295" s="85"/>
      <c r="H295" s="85"/>
      <c r="R295" s="123"/>
      <c r="S295" s="122"/>
      <c r="T295" s="123"/>
      <c r="U295" s="123"/>
      <c r="V295" s="123"/>
      <c r="W295" s="123"/>
    </row>
    <row r="296">
      <c r="G296" s="85"/>
      <c r="H296" s="85"/>
      <c r="R296" s="123"/>
      <c r="S296" s="122"/>
      <c r="T296" s="123"/>
      <c r="U296" s="123"/>
      <c r="V296" s="123"/>
      <c r="W296" s="123"/>
    </row>
    <row r="297">
      <c r="G297" s="85"/>
      <c r="H297" s="85"/>
      <c r="R297" s="123"/>
      <c r="S297" s="122"/>
      <c r="T297" s="123"/>
      <c r="U297" s="123"/>
      <c r="V297" s="123"/>
      <c r="W297" s="123"/>
    </row>
    <row r="298">
      <c r="G298" s="85"/>
      <c r="H298" s="85"/>
      <c r="R298" s="123"/>
      <c r="S298" s="122"/>
      <c r="T298" s="123"/>
      <c r="U298" s="123"/>
      <c r="V298" s="123"/>
      <c r="W298" s="123"/>
    </row>
    <row r="299">
      <c r="G299" s="85"/>
      <c r="H299" s="85"/>
      <c r="R299" s="123"/>
      <c r="S299" s="122"/>
      <c r="T299" s="123"/>
      <c r="U299" s="123"/>
      <c r="V299" s="123"/>
      <c r="W299" s="123"/>
    </row>
    <row r="300">
      <c r="G300" s="85"/>
      <c r="H300" s="85"/>
      <c r="R300" s="123"/>
      <c r="S300" s="122"/>
      <c r="T300" s="123"/>
      <c r="U300" s="123"/>
      <c r="V300" s="123"/>
      <c r="W300" s="123"/>
    </row>
    <row r="301">
      <c r="G301" s="85"/>
      <c r="H301" s="85"/>
      <c r="R301" s="123"/>
      <c r="S301" s="122"/>
      <c r="T301" s="123"/>
      <c r="U301" s="123"/>
      <c r="V301" s="123"/>
      <c r="W301" s="123"/>
    </row>
    <row r="302">
      <c r="G302" s="85"/>
      <c r="H302" s="85"/>
      <c r="R302" s="123"/>
      <c r="S302" s="122"/>
      <c r="T302" s="123"/>
      <c r="U302" s="123"/>
      <c r="V302" s="123"/>
      <c r="W302" s="123"/>
    </row>
    <row r="303">
      <c r="G303" s="85"/>
      <c r="H303" s="85"/>
      <c r="R303" s="123"/>
      <c r="S303" s="122"/>
      <c r="T303" s="123"/>
      <c r="U303" s="123"/>
      <c r="V303" s="123"/>
      <c r="W303" s="123"/>
    </row>
    <row r="304">
      <c r="G304" s="85"/>
      <c r="H304" s="85"/>
      <c r="R304" s="123"/>
      <c r="S304" s="122"/>
      <c r="T304" s="123"/>
      <c r="U304" s="123"/>
      <c r="V304" s="123"/>
      <c r="W304" s="123"/>
    </row>
    <row r="305">
      <c r="G305" s="85"/>
      <c r="H305" s="85"/>
      <c r="R305" s="123"/>
      <c r="S305" s="122"/>
      <c r="T305" s="123"/>
      <c r="U305" s="123"/>
      <c r="V305" s="123"/>
      <c r="W305" s="123"/>
    </row>
    <row r="306">
      <c r="G306" s="85"/>
      <c r="H306" s="85"/>
      <c r="R306" s="123"/>
      <c r="S306" s="122"/>
      <c r="T306" s="123"/>
      <c r="U306" s="123"/>
      <c r="V306" s="123"/>
      <c r="W306" s="123"/>
    </row>
    <row r="307">
      <c r="G307" s="85"/>
      <c r="H307" s="85"/>
      <c r="R307" s="123"/>
      <c r="S307" s="122"/>
      <c r="T307" s="123"/>
      <c r="U307" s="123"/>
      <c r="V307" s="123"/>
      <c r="W307" s="123"/>
    </row>
    <row r="308">
      <c r="G308" s="85"/>
      <c r="H308" s="85"/>
      <c r="R308" s="123"/>
      <c r="S308" s="122"/>
      <c r="T308" s="123"/>
      <c r="U308" s="123"/>
      <c r="V308" s="123"/>
      <c r="W308" s="123"/>
    </row>
    <row r="309">
      <c r="G309" s="85"/>
      <c r="H309" s="85"/>
      <c r="R309" s="123"/>
      <c r="S309" s="122"/>
      <c r="T309" s="123"/>
      <c r="U309" s="123"/>
      <c r="V309" s="123"/>
      <c r="W309" s="123"/>
    </row>
    <row r="310">
      <c r="G310" s="85"/>
      <c r="H310" s="85"/>
      <c r="R310" s="123"/>
      <c r="S310" s="122"/>
      <c r="T310" s="123"/>
      <c r="U310" s="123"/>
      <c r="V310" s="123"/>
      <c r="W310" s="123"/>
    </row>
    <row r="311">
      <c r="G311" s="85"/>
      <c r="H311" s="85"/>
      <c r="R311" s="123"/>
      <c r="S311" s="122"/>
      <c r="T311" s="123"/>
      <c r="U311" s="123"/>
      <c r="V311" s="123"/>
      <c r="W311" s="123"/>
    </row>
    <row r="312">
      <c r="G312" s="85"/>
      <c r="H312" s="85"/>
      <c r="R312" s="123"/>
      <c r="S312" s="122"/>
      <c r="T312" s="123"/>
      <c r="U312" s="123"/>
      <c r="V312" s="123"/>
      <c r="W312" s="123"/>
    </row>
    <row r="313">
      <c r="G313" s="85"/>
      <c r="H313" s="85"/>
      <c r="R313" s="123"/>
      <c r="S313" s="122"/>
      <c r="T313" s="123"/>
      <c r="U313" s="123"/>
      <c r="V313" s="123"/>
      <c r="W313" s="123"/>
    </row>
    <row r="314">
      <c r="G314" s="85"/>
      <c r="H314" s="85"/>
      <c r="R314" s="123"/>
      <c r="S314" s="122"/>
      <c r="T314" s="123"/>
      <c r="U314" s="123"/>
      <c r="V314" s="123"/>
      <c r="W314" s="123"/>
    </row>
    <row r="315">
      <c r="G315" s="85"/>
      <c r="H315" s="85"/>
      <c r="R315" s="123"/>
      <c r="S315" s="122"/>
      <c r="T315" s="123"/>
      <c r="U315" s="123"/>
      <c r="V315" s="123"/>
      <c r="W315" s="123"/>
    </row>
    <row r="316">
      <c r="G316" s="85"/>
      <c r="H316" s="85"/>
      <c r="R316" s="123"/>
      <c r="S316" s="122"/>
      <c r="T316" s="123"/>
      <c r="U316" s="123"/>
      <c r="V316" s="123"/>
      <c r="W316" s="123"/>
    </row>
    <row r="317">
      <c r="G317" s="85"/>
      <c r="H317" s="85"/>
      <c r="R317" s="123"/>
      <c r="S317" s="122"/>
      <c r="T317" s="123"/>
      <c r="U317" s="123"/>
      <c r="V317" s="123"/>
      <c r="W317" s="123"/>
    </row>
    <row r="318">
      <c r="G318" s="85"/>
      <c r="H318" s="85"/>
      <c r="R318" s="123"/>
      <c r="S318" s="122"/>
      <c r="T318" s="123"/>
      <c r="U318" s="123"/>
      <c r="V318" s="123"/>
      <c r="W318" s="123"/>
    </row>
    <row r="319">
      <c r="G319" s="85"/>
      <c r="H319" s="85"/>
      <c r="R319" s="123"/>
      <c r="S319" s="122"/>
      <c r="T319" s="123"/>
      <c r="U319" s="123"/>
      <c r="V319" s="123"/>
      <c r="W319" s="123"/>
    </row>
    <row r="320">
      <c r="G320" s="85"/>
      <c r="H320" s="85"/>
      <c r="R320" s="123"/>
      <c r="S320" s="122"/>
      <c r="T320" s="123"/>
      <c r="U320" s="123"/>
      <c r="V320" s="123"/>
      <c r="W320" s="123"/>
    </row>
    <row r="321">
      <c r="G321" s="85"/>
      <c r="H321" s="85"/>
      <c r="R321" s="123"/>
      <c r="S321" s="122"/>
      <c r="T321" s="123"/>
      <c r="U321" s="123"/>
      <c r="V321" s="123"/>
      <c r="W321" s="123"/>
    </row>
    <row r="322">
      <c r="G322" s="85"/>
      <c r="H322" s="85"/>
      <c r="R322" s="123"/>
      <c r="S322" s="122"/>
      <c r="T322" s="123"/>
      <c r="U322" s="123"/>
      <c r="V322" s="123"/>
      <c r="W322" s="123"/>
    </row>
    <row r="323">
      <c r="G323" s="85"/>
      <c r="H323" s="85"/>
      <c r="R323" s="123"/>
      <c r="S323" s="122"/>
      <c r="T323" s="123"/>
      <c r="U323" s="123"/>
      <c r="V323" s="123"/>
      <c r="W323" s="123"/>
    </row>
    <row r="324">
      <c r="G324" s="85"/>
      <c r="H324" s="85"/>
      <c r="R324" s="123"/>
      <c r="S324" s="122"/>
      <c r="T324" s="123"/>
      <c r="U324" s="123"/>
      <c r="V324" s="123"/>
      <c r="W324" s="123"/>
    </row>
    <row r="325">
      <c r="G325" s="85"/>
      <c r="H325" s="85"/>
      <c r="R325" s="123"/>
      <c r="S325" s="122"/>
      <c r="T325" s="123"/>
      <c r="U325" s="123"/>
      <c r="V325" s="123"/>
      <c r="W325" s="123"/>
    </row>
    <row r="326">
      <c r="G326" s="85"/>
      <c r="H326" s="85"/>
      <c r="R326" s="123"/>
      <c r="S326" s="122"/>
      <c r="T326" s="123"/>
      <c r="U326" s="123"/>
      <c r="V326" s="123"/>
      <c r="W326" s="123"/>
    </row>
    <row r="327">
      <c r="G327" s="85"/>
      <c r="H327" s="85"/>
      <c r="R327" s="123"/>
      <c r="S327" s="122"/>
      <c r="T327" s="123"/>
      <c r="U327" s="123"/>
      <c r="V327" s="123"/>
      <c r="W327" s="123"/>
    </row>
    <row r="328">
      <c r="G328" s="85"/>
      <c r="H328" s="85"/>
      <c r="R328" s="123"/>
      <c r="S328" s="122"/>
      <c r="T328" s="123"/>
      <c r="U328" s="123"/>
      <c r="V328" s="123"/>
      <c r="W328" s="123"/>
    </row>
    <row r="329">
      <c r="G329" s="85"/>
      <c r="H329" s="85"/>
      <c r="R329" s="123"/>
      <c r="S329" s="122"/>
      <c r="T329" s="123"/>
      <c r="U329" s="123"/>
      <c r="V329" s="123"/>
      <c r="W329" s="123"/>
    </row>
    <row r="330">
      <c r="G330" s="85"/>
      <c r="H330" s="85"/>
      <c r="R330" s="123"/>
      <c r="S330" s="122"/>
      <c r="T330" s="123"/>
      <c r="U330" s="123"/>
      <c r="V330" s="123"/>
      <c r="W330" s="123"/>
    </row>
    <row r="331">
      <c r="G331" s="85"/>
      <c r="H331" s="85"/>
      <c r="R331" s="123"/>
      <c r="S331" s="122"/>
      <c r="T331" s="123"/>
      <c r="U331" s="123"/>
      <c r="V331" s="123"/>
      <c r="W331" s="123"/>
    </row>
    <row r="332">
      <c r="G332" s="85"/>
      <c r="H332" s="85"/>
      <c r="R332" s="123"/>
      <c r="S332" s="122"/>
      <c r="T332" s="123"/>
      <c r="U332" s="123"/>
      <c r="V332" s="123"/>
      <c r="W332" s="123"/>
    </row>
    <row r="333">
      <c r="G333" s="85"/>
      <c r="H333" s="85"/>
      <c r="R333" s="123"/>
      <c r="S333" s="122"/>
      <c r="T333" s="123"/>
      <c r="U333" s="123"/>
      <c r="V333" s="123"/>
      <c r="W333" s="123"/>
    </row>
    <row r="334">
      <c r="G334" s="85"/>
      <c r="H334" s="85"/>
      <c r="R334" s="123"/>
      <c r="S334" s="122"/>
      <c r="T334" s="123"/>
      <c r="U334" s="123"/>
      <c r="V334" s="123"/>
      <c r="W334" s="123"/>
    </row>
    <row r="335">
      <c r="G335" s="85"/>
      <c r="H335" s="85"/>
      <c r="R335" s="123"/>
      <c r="S335" s="122"/>
      <c r="T335" s="123"/>
      <c r="U335" s="123"/>
      <c r="V335" s="123"/>
      <c r="W335" s="123"/>
    </row>
    <row r="336">
      <c r="G336" s="85"/>
      <c r="H336" s="85"/>
      <c r="R336" s="123"/>
      <c r="S336" s="122"/>
      <c r="T336" s="123"/>
      <c r="U336" s="123"/>
      <c r="V336" s="123"/>
      <c r="W336" s="123"/>
    </row>
    <row r="337">
      <c r="G337" s="85"/>
      <c r="H337" s="85"/>
      <c r="R337" s="123"/>
      <c r="S337" s="122"/>
      <c r="T337" s="123"/>
      <c r="U337" s="123"/>
      <c r="V337" s="123"/>
      <c r="W337" s="123"/>
    </row>
    <row r="338">
      <c r="G338" s="85"/>
      <c r="H338" s="85"/>
      <c r="R338" s="123"/>
      <c r="S338" s="122"/>
      <c r="T338" s="123"/>
      <c r="U338" s="123"/>
      <c r="V338" s="123"/>
      <c r="W338" s="123"/>
    </row>
    <row r="339">
      <c r="G339" s="85"/>
      <c r="H339" s="85"/>
      <c r="R339" s="123"/>
      <c r="S339" s="122"/>
      <c r="T339" s="123"/>
      <c r="U339" s="123"/>
      <c r="V339" s="123"/>
      <c r="W339" s="123"/>
    </row>
    <row r="340">
      <c r="G340" s="85"/>
      <c r="H340" s="85"/>
      <c r="R340" s="123"/>
      <c r="S340" s="122"/>
      <c r="T340" s="123"/>
      <c r="U340" s="123"/>
      <c r="V340" s="123"/>
      <c r="W340" s="123"/>
    </row>
    <row r="341">
      <c r="G341" s="85"/>
      <c r="H341" s="85"/>
      <c r="R341" s="123"/>
      <c r="S341" s="122"/>
      <c r="T341" s="123"/>
      <c r="U341" s="123"/>
      <c r="V341" s="123"/>
      <c r="W341" s="123"/>
    </row>
    <row r="342">
      <c r="G342" s="85"/>
      <c r="H342" s="85"/>
      <c r="R342" s="123"/>
      <c r="S342" s="122"/>
      <c r="T342" s="123"/>
      <c r="U342" s="123"/>
      <c r="V342" s="123"/>
      <c r="W342" s="123"/>
    </row>
    <row r="343">
      <c r="G343" s="85"/>
      <c r="H343" s="85"/>
      <c r="R343" s="123"/>
      <c r="S343" s="122"/>
      <c r="T343" s="123"/>
      <c r="U343" s="123"/>
      <c r="V343" s="123"/>
      <c r="W343" s="123"/>
    </row>
    <row r="344">
      <c r="G344" s="85"/>
      <c r="H344" s="85"/>
      <c r="R344" s="123"/>
      <c r="S344" s="122"/>
      <c r="T344" s="123"/>
      <c r="U344" s="123"/>
      <c r="V344" s="123"/>
      <c r="W344" s="123"/>
    </row>
    <row r="345">
      <c r="G345" s="85"/>
      <c r="H345" s="85"/>
      <c r="R345" s="123"/>
      <c r="S345" s="122"/>
      <c r="T345" s="123"/>
      <c r="U345" s="123"/>
      <c r="V345" s="123"/>
      <c r="W345" s="123"/>
    </row>
    <row r="346">
      <c r="G346" s="85"/>
      <c r="H346" s="85"/>
      <c r="R346" s="123"/>
      <c r="S346" s="122"/>
      <c r="T346" s="123"/>
      <c r="U346" s="123"/>
      <c r="V346" s="123"/>
      <c r="W346" s="123"/>
    </row>
    <row r="347">
      <c r="G347" s="85"/>
      <c r="H347" s="85"/>
      <c r="R347" s="123"/>
      <c r="S347" s="122"/>
      <c r="T347" s="123"/>
      <c r="U347" s="123"/>
      <c r="V347" s="123"/>
      <c r="W347" s="123"/>
    </row>
    <row r="348">
      <c r="G348" s="85"/>
      <c r="H348" s="85"/>
      <c r="R348" s="123"/>
      <c r="S348" s="122"/>
      <c r="T348" s="123"/>
      <c r="U348" s="123"/>
      <c r="V348" s="123"/>
      <c r="W348" s="123"/>
    </row>
    <row r="349">
      <c r="G349" s="85"/>
      <c r="H349" s="85"/>
      <c r="R349" s="123"/>
      <c r="S349" s="122"/>
      <c r="T349" s="123"/>
      <c r="U349" s="123"/>
      <c r="V349" s="123"/>
      <c r="W349" s="123"/>
    </row>
    <row r="350">
      <c r="G350" s="85"/>
      <c r="H350" s="85"/>
      <c r="R350" s="123"/>
      <c r="S350" s="122"/>
      <c r="T350" s="123"/>
      <c r="U350" s="123"/>
      <c r="V350" s="123"/>
      <c r="W350" s="123"/>
    </row>
    <row r="351">
      <c r="G351" s="85"/>
      <c r="H351" s="85"/>
      <c r="R351" s="123"/>
      <c r="S351" s="122"/>
      <c r="T351" s="123"/>
      <c r="U351" s="123"/>
      <c r="V351" s="123"/>
      <c r="W351" s="123"/>
    </row>
    <row r="352">
      <c r="G352" s="85"/>
      <c r="H352" s="85"/>
      <c r="R352" s="123"/>
      <c r="S352" s="122"/>
      <c r="T352" s="123"/>
      <c r="U352" s="123"/>
      <c r="V352" s="123"/>
      <c r="W352" s="123"/>
    </row>
    <row r="353">
      <c r="G353" s="85"/>
      <c r="H353" s="85"/>
      <c r="R353" s="123"/>
      <c r="S353" s="122"/>
      <c r="T353" s="123"/>
      <c r="U353" s="123"/>
      <c r="V353" s="123"/>
      <c r="W353" s="123"/>
    </row>
    <row r="354">
      <c r="G354" s="85"/>
      <c r="H354" s="85"/>
      <c r="R354" s="123"/>
      <c r="S354" s="122"/>
      <c r="T354" s="123"/>
      <c r="U354" s="123"/>
      <c r="V354" s="123"/>
      <c r="W354" s="123"/>
    </row>
    <row r="355">
      <c r="G355" s="85"/>
      <c r="H355" s="85"/>
      <c r="R355" s="123"/>
      <c r="S355" s="122"/>
      <c r="T355" s="123"/>
      <c r="U355" s="123"/>
      <c r="V355" s="123"/>
      <c r="W355" s="123"/>
    </row>
    <row r="356">
      <c r="G356" s="85"/>
      <c r="H356" s="85"/>
      <c r="R356" s="123"/>
      <c r="S356" s="122"/>
      <c r="T356" s="123"/>
      <c r="U356" s="123"/>
      <c r="V356" s="123"/>
      <c r="W356" s="123"/>
    </row>
    <row r="357">
      <c r="G357" s="85"/>
      <c r="H357" s="85"/>
      <c r="R357" s="123"/>
      <c r="S357" s="122"/>
      <c r="T357" s="123"/>
      <c r="U357" s="123"/>
      <c r="V357" s="123"/>
      <c r="W357" s="123"/>
    </row>
    <row r="358">
      <c r="G358" s="85"/>
      <c r="H358" s="85"/>
      <c r="R358" s="123"/>
      <c r="S358" s="122"/>
      <c r="T358" s="123"/>
      <c r="U358" s="123"/>
      <c r="V358" s="123"/>
      <c r="W358" s="123"/>
    </row>
    <row r="359">
      <c r="G359" s="85"/>
      <c r="H359" s="85"/>
      <c r="R359" s="123"/>
      <c r="S359" s="122"/>
      <c r="T359" s="123"/>
      <c r="U359" s="123"/>
      <c r="V359" s="123"/>
      <c r="W359" s="123"/>
    </row>
    <row r="360">
      <c r="G360" s="85"/>
      <c r="H360" s="85"/>
      <c r="R360" s="123"/>
      <c r="S360" s="122"/>
      <c r="T360" s="123"/>
      <c r="U360" s="123"/>
      <c r="V360" s="123"/>
      <c r="W360" s="123"/>
    </row>
    <row r="361">
      <c r="G361" s="85"/>
      <c r="H361" s="85"/>
      <c r="R361" s="123"/>
      <c r="S361" s="122"/>
      <c r="T361" s="123"/>
      <c r="U361" s="123"/>
      <c r="V361" s="123"/>
      <c r="W361" s="123"/>
    </row>
    <row r="362">
      <c r="G362" s="85"/>
      <c r="H362" s="85"/>
      <c r="R362" s="123"/>
      <c r="S362" s="122"/>
      <c r="T362" s="123"/>
      <c r="U362" s="123"/>
      <c r="V362" s="123"/>
      <c r="W362" s="123"/>
    </row>
    <row r="363">
      <c r="G363" s="85"/>
      <c r="H363" s="85"/>
      <c r="R363" s="123"/>
      <c r="S363" s="122"/>
      <c r="T363" s="123"/>
      <c r="U363" s="123"/>
      <c r="V363" s="123"/>
      <c r="W363" s="123"/>
    </row>
    <row r="364">
      <c r="G364" s="85"/>
      <c r="H364" s="85"/>
      <c r="R364" s="123"/>
      <c r="S364" s="122"/>
      <c r="T364" s="123"/>
      <c r="U364" s="123"/>
      <c r="V364" s="123"/>
      <c r="W364" s="123"/>
    </row>
    <row r="365">
      <c r="G365" s="85"/>
      <c r="H365" s="85"/>
      <c r="R365" s="123"/>
      <c r="S365" s="122"/>
      <c r="T365" s="123"/>
      <c r="U365" s="123"/>
      <c r="V365" s="123"/>
      <c r="W365" s="123"/>
    </row>
    <row r="366">
      <c r="G366" s="85"/>
      <c r="H366" s="85"/>
      <c r="R366" s="123"/>
      <c r="S366" s="122"/>
      <c r="T366" s="123"/>
      <c r="U366" s="123"/>
      <c r="V366" s="123"/>
      <c r="W366" s="123"/>
    </row>
    <row r="367">
      <c r="G367" s="85"/>
      <c r="H367" s="85"/>
      <c r="R367" s="123"/>
      <c r="S367" s="122"/>
      <c r="T367" s="123"/>
      <c r="U367" s="123"/>
      <c r="V367" s="123"/>
      <c r="W367" s="123"/>
    </row>
    <row r="368">
      <c r="G368" s="85"/>
      <c r="H368" s="85"/>
      <c r="R368" s="123"/>
      <c r="S368" s="122"/>
      <c r="T368" s="123"/>
      <c r="U368" s="123"/>
      <c r="V368" s="123"/>
      <c r="W368" s="123"/>
    </row>
    <row r="369">
      <c r="G369" s="85"/>
      <c r="H369" s="85"/>
      <c r="R369" s="123"/>
      <c r="S369" s="122"/>
      <c r="T369" s="123"/>
      <c r="U369" s="123"/>
      <c r="V369" s="123"/>
      <c r="W369" s="123"/>
    </row>
    <row r="370">
      <c r="G370" s="85"/>
      <c r="H370" s="85"/>
      <c r="R370" s="123"/>
      <c r="S370" s="122"/>
      <c r="T370" s="123"/>
      <c r="U370" s="123"/>
      <c r="V370" s="123"/>
      <c r="W370" s="123"/>
    </row>
    <row r="371">
      <c r="G371" s="85"/>
      <c r="H371" s="85"/>
      <c r="R371" s="123"/>
      <c r="S371" s="122"/>
      <c r="T371" s="123"/>
      <c r="U371" s="123"/>
      <c r="V371" s="123"/>
      <c r="W371" s="123"/>
    </row>
    <row r="372">
      <c r="G372" s="85"/>
      <c r="H372" s="85"/>
      <c r="R372" s="123"/>
      <c r="S372" s="122"/>
      <c r="T372" s="123"/>
      <c r="U372" s="123"/>
      <c r="V372" s="123"/>
      <c r="W372" s="123"/>
    </row>
    <row r="373">
      <c r="G373" s="85"/>
      <c r="H373" s="85"/>
      <c r="R373" s="123"/>
      <c r="S373" s="122"/>
      <c r="T373" s="123"/>
      <c r="U373" s="123"/>
      <c r="V373" s="123"/>
      <c r="W373" s="123"/>
    </row>
    <row r="374">
      <c r="G374" s="85"/>
      <c r="H374" s="85"/>
      <c r="R374" s="123"/>
      <c r="S374" s="122"/>
      <c r="T374" s="123"/>
      <c r="U374" s="123"/>
      <c r="V374" s="123"/>
      <c r="W374" s="123"/>
    </row>
    <row r="375">
      <c r="G375" s="85"/>
      <c r="H375" s="85"/>
      <c r="R375" s="123"/>
      <c r="S375" s="122"/>
      <c r="T375" s="123"/>
      <c r="U375" s="123"/>
      <c r="V375" s="123"/>
      <c r="W375" s="123"/>
    </row>
    <row r="376">
      <c r="G376" s="85"/>
      <c r="H376" s="85"/>
      <c r="R376" s="123"/>
      <c r="S376" s="122"/>
      <c r="T376" s="123"/>
      <c r="U376" s="123"/>
      <c r="V376" s="123"/>
      <c r="W376" s="123"/>
    </row>
    <row r="377">
      <c r="G377" s="85"/>
      <c r="H377" s="85"/>
      <c r="R377" s="123"/>
      <c r="S377" s="122"/>
      <c r="T377" s="123"/>
      <c r="U377" s="123"/>
      <c r="V377" s="123"/>
      <c r="W377" s="123"/>
    </row>
    <row r="378">
      <c r="G378" s="85"/>
      <c r="H378" s="85"/>
      <c r="R378" s="123"/>
      <c r="S378" s="122"/>
      <c r="T378" s="123"/>
      <c r="U378" s="123"/>
      <c r="V378" s="123"/>
      <c r="W378" s="123"/>
    </row>
    <row r="379">
      <c r="G379" s="85"/>
      <c r="H379" s="85"/>
      <c r="R379" s="123"/>
      <c r="S379" s="122"/>
      <c r="T379" s="123"/>
      <c r="U379" s="123"/>
      <c r="V379" s="123"/>
      <c r="W379" s="123"/>
    </row>
    <row r="380">
      <c r="G380" s="85"/>
      <c r="H380" s="85"/>
      <c r="R380" s="123"/>
      <c r="S380" s="122"/>
      <c r="T380" s="123"/>
      <c r="U380" s="123"/>
      <c r="V380" s="123"/>
      <c r="W380" s="123"/>
    </row>
    <row r="381">
      <c r="G381" s="85"/>
      <c r="H381" s="85"/>
      <c r="R381" s="123"/>
      <c r="S381" s="122"/>
      <c r="T381" s="123"/>
      <c r="U381" s="123"/>
      <c r="V381" s="123"/>
      <c r="W381" s="123"/>
    </row>
    <row r="382">
      <c r="G382" s="85"/>
      <c r="H382" s="85"/>
      <c r="R382" s="123"/>
      <c r="S382" s="122"/>
      <c r="T382" s="123"/>
      <c r="U382" s="123"/>
      <c r="V382" s="123"/>
      <c r="W382" s="123"/>
    </row>
    <row r="383">
      <c r="G383" s="85"/>
      <c r="H383" s="85"/>
      <c r="R383" s="123"/>
      <c r="S383" s="122"/>
      <c r="T383" s="123"/>
      <c r="U383" s="123"/>
      <c r="V383" s="123"/>
      <c r="W383" s="123"/>
    </row>
    <row r="384">
      <c r="G384" s="85"/>
      <c r="H384" s="85"/>
      <c r="R384" s="123"/>
      <c r="S384" s="122"/>
      <c r="T384" s="123"/>
      <c r="U384" s="123"/>
      <c r="V384" s="123"/>
      <c r="W384" s="123"/>
    </row>
    <row r="385">
      <c r="G385" s="85"/>
      <c r="H385" s="85"/>
      <c r="R385" s="123"/>
      <c r="S385" s="122"/>
      <c r="T385" s="123"/>
      <c r="U385" s="123"/>
      <c r="V385" s="123"/>
      <c r="W385" s="123"/>
    </row>
    <row r="386">
      <c r="G386" s="85"/>
      <c r="H386" s="85"/>
      <c r="R386" s="123"/>
      <c r="S386" s="122"/>
      <c r="T386" s="123"/>
      <c r="U386" s="123"/>
      <c r="V386" s="123"/>
      <c r="W386" s="123"/>
    </row>
    <row r="387">
      <c r="G387" s="85"/>
      <c r="H387" s="85"/>
      <c r="R387" s="123"/>
      <c r="S387" s="122"/>
      <c r="T387" s="123"/>
      <c r="U387" s="123"/>
      <c r="V387" s="123"/>
      <c r="W387" s="123"/>
    </row>
    <row r="388">
      <c r="G388" s="85"/>
      <c r="H388" s="85"/>
      <c r="R388" s="123"/>
      <c r="S388" s="122"/>
      <c r="T388" s="123"/>
      <c r="U388" s="123"/>
      <c r="V388" s="123"/>
      <c r="W388" s="123"/>
    </row>
    <row r="389">
      <c r="G389" s="85"/>
      <c r="H389" s="85"/>
      <c r="R389" s="123"/>
      <c r="S389" s="122"/>
      <c r="T389" s="123"/>
      <c r="U389" s="123"/>
      <c r="V389" s="123"/>
      <c r="W389" s="123"/>
    </row>
    <row r="390">
      <c r="G390" s="85"/>
      <c r="H390" s="85"/>
      <c r="R390" s="123"/>
      <c r="S390" s="122"/>
      <c r="T390" s="123"/>
      <c r="U390" s="123"/>
      <c r="V390" s="123"/>
      <c r="W390" s="123"/>
    </row>
    <row r="391">
      <c r="G391" s="85"/>
      <c r="H391" s="85"/>
      <c r="R391" s="123"/>
      <c r="S391" s="122"/>
      <c r="T391" s="123"/>
      <c r="U391" s="123"/>
      <c r="V391" s="123"/>
      <c r="W391" s="123"/>
    </row>
    <row r="392">
      <c r="G392" s="85"/>
      <c r="H392" s="85"/>
      <c r="R392" s="123"/>
      <c r="S392" s="122"/>
      <c r="T392" s="123"/>
      <c r="U392" s="123"/>
      <c r="V392" s="123"/>
      <c r="W392" s="123"/>
    </row>
    <row r="393">
      <c r="G393" s="85"/>
      <c r="H393" s="85"/>
      <c r="R393" s="123"/>
      <c r="S393" s="122"/>
      <c r="T393" s="123"/>
      <c r="U393" s="123"/>
      <c r="V393" s="123"/>
      <c r="W393" s="123"/>
    </row>
    <row r="394">
      <c r="G394" s="85"/>
      <c r="H394" s="85"/>
      <c r="R394" s="123"/>
      <c r="S394" s="122"/>
      <c r="T394" s="123"/>
      <c r="U394" s="123"/>
      <c r="V394" s="123"/>
      <c r="W394" s="123"/>
    </row>
    <row r="395">
      <c r="G395" s="85"/>
      <c r="H395" s="85"/>
      <c r="R395" s="123"/>
      <c r="S395" s="122"/>
      <c r="T395" s="123"/>
      <c r="U395" s="123"/>
      <c r="V395" s="123"/>
      <c r="W395" s="123"/>
    </row>
    <row r="396">
      <c r="G396" s="85"/>
      <c r="H396" s="85"/>
      <c r="R396" s="123"/>
      <c r="S396" s="122"/>
      <c r="T396" s="123"/>
      <c r="U396" s="123"/>
      <c r="V396" s="123"/>
      <c r="W396" s="123"/>
    </row>
    <row r="397">
      <c r="G397" s="85"/>
      <c r="H397" s="85"/>
      <c r="R397" s="123"/>
      <c r="S397" s="122"/>
      <c r="T397" s="123"/>
      <c r="U397" s="123"/>
      <c r="V397" s="123"/>
      <c r="W397" s="123"/>
    </row>
    <row r="398">
      <c r="G398" s="85"/>
      <c r="H398" s="85"/>
      <c r="R398" s="123"/>
      <c r="S398" s="122"/>
      <c r="T398" s="123"/>
      <c r="U398" s="123"/>
      <c r="V398" s="123"/>
      <c r="W398" s="123"/>
    </row>
    <row r="399">
      <c r="G399" s="85"/>
      <c r="H399" s="85"/>
      <c r="R399" s="123"/>
      <c r="S399" s="122"/>
      <c r="T399" s="123"/>
      <c r="U399" s="123"/>
      <c r="V399" s="123"/>
      <c r="W399" s="123"/>
    </row>
    <row r="400">
      <c r="G400" s="85"/>
      <c r="H400" s="85"/>
      <c r="R400" s="123"/>
      <c r="S400" s="122"/>
      <c r="T400" s="123"/>
      <c r="U400" s="123"/>
      <c r="V400" s="123"/>
      <c r="W400" s="123"/>
    </row>
    <row r="401">
      <c r="G401" s="85"/>
      <c r="H401" s="85"/>
      <c r="R401" s="123"/>
      <c r="S401" s="122"/>
      <c r="T401" s="123"/>
      <c r="U401" s="123"/>
      <c r="V401" s="123"/>
      <c r="W401" s="123"/>
    </row>
    <row r="402">
      <c r="G402" s="85"/>
      <c r="H402" s="85"/>
      <c r="R402" s="123"/>
      <c r="S402" s="122"/>
      <c r="T402" s="123"/>
      <c r="U402" s="123"/>
      <c r="V402" s="123"/>
      <c r="W402" s="123"/>
    </row>
    <row r="403">
      <c r="G403" s="85"/>
      <c r="H403" s="85"/>
      <c r="R403" s="123"/>
      <c r="S403" s="122"/>
      <c r="T403" s="123"/>
      <c r="U403" s="123"/>
      <c r="V403" s="123"/>
      <c r="W403" s="123"/>
    </row>
    <row r="404">
      <c r="G404" s="85"/>
      <c r="H404" s="85"/>
      <c r="R404" s="123"/>
      <c r="S404" s="122"/>
      <c r="T404" s="123"/>
      <c r="U404" s="123"/>
      <c r="V404" s="123"/>
      <c r="W404" s="123"/>
    </row>
    <row r="405">
      <c r="G405" s="85"/>
      <c r="H405" s="85"/>
      <c r="R405" s="123"/>
      <c r="S405" s="122"/>
      <c r="T405" s="123"/>
      <c r="U405" s="123"/>
      <c r="V405" s="123"/>
      <c r="W405" s="123"/>
    </row>
    <row r="406">
      <c r="G406" s="85"/>
      <c r="H406" s="85"/>
      <c r="R406" s="123"/>
      <c r="S406" s="122"/>
      <c r="T406" s="123"/>
      <c r="U406" s="123"/>
      <c r="V406" s="123"/>
      <c r="W406" s="123"/>
    </row>
    <row r="407">
      <c r="G407" s="85"/>
      <c r="H407" s="85"/>
      <c r="R407" s="123"/>
      <c r="S407" s="122"/>
      <c r="T407" s="123"/>
      <c r="U407" s="123"/>
      <c r="V407" s="123"/>
      <c r="W407" s="123"/>
    </row>
    <row r="408">
      <c r="G408" s="85"/>
      <c r="H408" s="85"/>
      <c r="R408" s="123"/>
      <c r="S408" s="122"/>
      <c r="T408" s="123"/>
      <c r="U408" s="123"/>
      <c r="V408" s="123"/>
      <c r="W408" s="123"/>
    </row>
    <row r="409">
      <c r="G409" s="85"/>
      <c r="H409" s="85"/>
      <c r="R409" s="123"/>
      <c r="S409" s="122"/>
      <c r="T409" s="123"/>
      <c r="U409" s="123"/>
      <c r="V409" s="123"/>
      <c r="W409" s="123"/>
    </row>
    <row r="410">
      <c r="G410" s="85"/>
      <c r="H410" s="85"/>
      <c r="R410" s="123"/>
      <c r="S410" s="122"/>
      <c r="T410" s="123"/>
      <c r="U410" s="123"/>
      <c r="V410" s="123"/>
      <c r="W410" s="123"/>
    </row>
    <row r="411">
      <c r="G411" s="85"/>
      <c r="H411" s="85"/>
      <c r="R411" s="123"/>
      <c r="S411" s="122"/>
      <c r="T411" s="123"/>
      <c r="U411" s="123"/>
      <c r="V411" s="123"/>
      <c r="W411" s="123"/>
    </row>
    <row r="412">
      <c r="G412" s="85"/>
      <c r="H412" s="85"/>
      <c r="R412" s="123"/>
      <c r="S412" s="122"/>
      <c r="T412" s="123"/>
      <c r="U412" s="123"/>
      <c r="V412" s="123"/>
      <c r="W412" s="123"/>
    </row>
    <row r="413">
      <c r="G413" s="85"/>
      <c r="H413" s="85"/>
      <c r="R413" s="123"/>
      <c r="S413" s="122"/>
      <c r="T413" s="123"/>
      <c r="U413" s="123"/>
      <c r="V413" s="123"/>
      <c r="W413" s="123"/>
    </row>
    <row r="414">
      <c r="G414" s="85"/>
      <c r="H414" s="85"/>
      <c r="R414" s="123"/>
      <c r="S414" s="122"/>
      <c r="T414" s="123"/>
      <c r="U414" s="123"/>
      <c r="V414" s="123"/>
      <c r="W414" s="123"/>
    </row>
    <row r="415">
      <c r="G415" s="85"/>
      <c r="H415" s="85"/>
      <c r="R415" s="123"/>
      <c r="S415" s="122"/>
      <c r="T415" s="123"/>
      <c r="U415" s="123"/>
      <c r="V415" s="123"/>
      <c r="W415" s="123"/>
    </row>
    <row r="416">
      <c r="G416" s="85"/>
      <c r="H416" s="85"/>
      <c r="R416" s="123"/>
      <c r="S416" s="122"/>
      <c r="T416" s="123"/>
      <c r="U416" s="123"/>
      <c r="V416" s="123"/>
      <c r="W416" s="123"/>
    </row>
    <row r="417">
      <c r="G417" s="85"/>
      <c r="H417" s="85"/>
      <c r="R417" s="123"/>
      <c r="S417" s="122"/>
      <c r="T417" s="123"/>
      <c r="U417" s="123"/>
      <c r="V417" s="123"/>
      <c r="W417" s="123"/>
    </row>
    <row r="418">
      <c r="G418" s="85"/>
      <c r="H418" s="85"/>
      <c r="R418" s="123"/>
      <c r="S418" s="122"/>
      <c r="T418" s="123"/>
      <c r="U418" s="123"/>
      <c r="V418" s="123"/>
      <c r="W418" s="123"/>
    </row>
    <row r="419">
      <c r="G419" s="85"/>
      <c r="H419" s="85"/>
      <c r="R419" s="123"/>
      <c r="S419" s="122"/>
      <c r="T419" s="123"/>
      <c r="U419" s="123"/>
      <c r="V419" s="123"/>
      <c r="W419" s="123"/>
    </row>
    <row r="420">
      <c r="G420" s="85"/>
      <c r="H420" s="85"/>
      <c r="R420" s="123"/>
      <c r="S420" s="122"/>
      <c r="T420" s="123"/>
      <c r="U420" s="123"/>
      <c r="V420" s="123"/>
      <c r="W420" s="123"/>
    </row>
    <row r="421">
      <c r="G421" s="85"/>
      <c r="H421" s="85"/>
      <c r="R421" s="123"/>
      <c r="S421" s="122"/>
      <c r="T421" s="123"/>
      <c r="U421" s="123"/>
      <c r="V421" s="123"/>
      <c r="W421" s="123"/>
    </row>
    <row r="422">
      <c r="G422" s="85"/>
      <c r="H422" s="85"/>
      <c r="R422" s="123"/>
      <c r="S422" s="122"/>
      <c r="T422" s="123"/>
      <c r="U422" s="123"/>
      <c r="V422" s="123"/>
      <c r="W422" s="123"/>
    </row>
    <row r="423">
      <c r="G423" s="85"/>
      <c r="H423" s="85"/>
      <c r="R423" s="123"/>
      <c r="S423" s="122"/>
      <c r="T423" s="123"/>
      <c r="U423" s="123"/>
      <c r="V423" s="123"/>
      <c r="W423" s="123"/>
    </row>
    <row r="424">
      <c r="G424" s="85"/>
      <c r="H424" s="85"/>
      <c r="R424" s="123"/>
      <c r="S424" s="122"/>
      <c r="T424" s="123"/>
      <c r="U424" s="123"/>
      <c r="V424" s="123"/>
      <c r="W424" s="123"/>
    </row>
    <row r="425">
      <c r="G425" s="85"/>
      <c r="H425" s="85"/>
      <c r="R425" s="123"/>
      <c r="S425" s="122"/>
      <c r="T425" s="123"/>
      <c r="U425" s="123"/>
      <c r="V425" s="123"/>
      <c r="W425" s="123"/>
    </row>
    <row r="426">
      <c r="G426" s="85"/>
      <c r="H426" s="85"/>
      <c r="R426" s="123"/>
      <c r="S426" s="122"/>
      <c r="T426" s="123"/>
      <c r="U426" s="123"/>
      <c r="V426" s="123"/>
      <c r="W426" s="123"/>
    </row>
    <row r="427">
      <c r="G427" s="85"/>
      <c r="H427" s="85"/>
      <c r="R427" s="123"/>
      <c r="S427" s="122"/>
      <c r="T427" s="123"/>
      <c r="U427" s="123"/>
      <c r="V427" s="123"/>
      <c r="W427" s="123"/>
    </row>
    <row r="428">
      <c r="G428" s="85"/>
      <c r="H428" s="85"/>
      <c r="R428" s="123"/>
      <c r="S428" s="122"/>
      <c r="T428" s="123"/>
      <c r="U428" s="123"/>
      <c r="V428" s="123"/>
      <c r="W428" s="123"/>
    </row>
    <row r="429">
      <c r="G429" s="85"/>
      <c r="H429" s="85"/>
      <c r="R429" s="123"/>
      <c r="S429" s="122"/>
      <c r="T429" s="123"/>
      <c r="U429" s="123"/>
      <c r="V429" s="123"/>
      <c r="W429" s="123"/>
    </row>
    <row r="430">
      <c r="G430" s="85"/>
      <c r="H430" s="85"/>
      <c r="R430" s="123"/>
      <c r="S430" s="122"/>
      <c r="T430" s="123"/>
      <c r="U430" s="123"/>
      <c r="V430" s="123"/>
      <c r="W430" s="123"/>
    </row>
    <row r="431">
      <c r="G431" s="85"/>
      <c r="H431" s="85"/>
      <c r="R431" s="123"/>
      <c r="S431" s="122"/>
      <c r="T431" s="123"/>
      <c r="U431" s="123"/>
      <c r="V431" s="123"/>
      <c r="W431" s="123"/>
    </row>
    <row r="432">
      <c r="G432" s="85"/>
      <c r="H432" s="85"/>
      <c r="R432" s="123"/>
      <c r="S432" s="122"/>
      <c r="T432" s="123"/>
      <c r="U432" s="123"/>
      <c r="V432" s="123"/>
      <c r="W432" s="123"/>
    </row>
    <row r="433">
      <c r="G433" s="85"/>
      <c r="H433" s="85"/>
      <c r="R433" s="123"/>
      <c r="S433" s="122"/>
      <c r="T433" s="123"/>
      <c r="U433" s="123"/>
      <c r="V433" s="123"/>
      <c r="W433" s="123"/>
    </row>
    <row r="434">
      <c r="G434" s="85"/>
      <c r="H434" s="85"/>
      <c r="R434" s="123"/>
      <c r="S434" s="122"/>
      <c r="T434" s="123"/>
      <c r="U434" s="123"/>
      <c r="V434" s="123"/>
      <c r="W434" s="123"/>
    </row>
    <row r="435">
      <c r="G435" s="85"/>
      <c r="H435" s="85"/>
      <c r="R435" s="123"/>
      <c r="S435" s="122"/>
      <c r="T435" s="123"/>
      <c r="U435" s="123"/>
      <c r="V435" s="123"/>
      <c r="W435" s="123"/>
    </row>
    <row r="436">
      <c r="G436" s="85"/>
      <c r="H436" s="85"/>
      <c r="R436" s="123"/>
      <c r="S436" s="122"/>
      <c r="T436" s="123"/>
      <c r="U436" s="123"/>
      <c r="V436" s="123"/>
      <c r="W436" s="123"/>
    </row>
    <row r="437">
      <c r="G437" s="85"/>
      <c r="H437" s="85"/>
      <c r="R437" s="123"/>
      <c r="S437" s="122"/>
      <c r="T437" s="123"/>
      <c r="U437" s="123"/>
      <c r="V437" s="123"/>
      <c r="W437" s="123"/>
    </row>
    <row r="438">
      <c r="G438" s="85"/>
      <c r="H438" s="85"/>
      <c r="R438" s="123"/>
      <c r="S438" s="122"/>
      <c r="T438" s="123"/>
      <c r="U438" s="123"/>
      <c r="V438" s="123"/>
      <c r="W438" s="123"/>
    </row>
    <row r="439">
      <c r="G439" s="85"/>
      <c r="H439" s="85"/>
      <c r="R439" s="123"/>
      <c r="S439" s="122"/>
      <c r="T439" s="123"/>
      <c r="U439" s="123"/>
      <c r="V439" s="123"/>
      <c r="W439" s="123"/>
    </row>
    <row r="440">
      <c r="G440" s="85"/>
      <c r="H440" s="85"/>
      <c r="R440" s="123"/>
      <c r="S440" s="122"/>
      <c r="T440" s="123"/>
      <c r="U440" s="123"/>
      <c r="V440" s="123"/>
      <c r="W440" s="123"/>
    </row>
    <row r="441">
      <c r="G441" s="85"/>
      <c r="H441" s="85"/>
      <c r="R441" s="123"/>
      <c r="S441" s="122"/>
      <c r="T441" s="123"/>
      <c r="U441" s="123"/>
      <c r="V441" s="123"/>
      <c r="W441" s="123"/>
    </row>
    <row r="442">
      <c r="G442" s="85"/>
      <c r="H442" s="85"/>
      <c r="R442" s="123"/>
      <c r="S442" s="122"/>
      <c r="T442" s="123"/>
      <c r="U442" s="123"/>
      <c r="V442" s="123"/>
      <c r="W442" s="123"/>
    </row>
    <row r="443">
      <c r="G443" s="85"/>
      <c r="H443" s="85"/>
      <c r="R443" s="123"/>
      <c r="S443" s="122"/>
      <c r="T443" s="123"/>
      <c r="U443" s="123"/>
      <c r="V443" s="123"/>
      <c r="W443" s="123"/>
    </row>
    <row r="444">
      <c r="G444" s="85"/>
      <c r="H444" s="85"/>
      <c r="R444" s="123"/>
      <c r="S444" s="122"/>
      <c r="T444" s="123"/>
      <c r="U444" s="123"/>
      <c r="V444" s="123"/>
      <c r="W444" s="123"/>
    </row>
    <row r="445">
      <c r="G445" s="85"/>
      <c r="H445" s="85"/>
      <c r="R445" s="123"/>
      <c r="S445" s="122"/>
      <c r="T445" s="123"/>
      <c r="U445" s="123"/>
      <c r="V445" s="123"/>
      <c r="W445" s="123"/>
    </row>
    <row r="446">
      <c r="G446" s="85"/>
      <c r="H446" s="85"/>
      <c r="R446" s="123"/>
      <c r="S446" s="122"/>
      <c r="T446" s="123"/>
      <c r="U446" s="123"/>
      <c r="V446" s="123"/>
      <c r="W446" s="123"/>
    </row>
    <row r="447">
      <c r="G447" s="85"/>
      <c r="H447" s="85"/>
      <c r="R447" s="123"/>
      <c r="S447" s="122"/>
      <c r="T447" s="123"/>
      <c r="U447" s="123"/>
      <c r="V447" s="123"/>
      <c r="W447" s="123"/>
    </row>
    <row r="448">
      <c r="G448" s="85"/>
      <c r="H448" s="85"/>
      <c r="R448" s="123"/>
      <c r="S448" s="122"/>
      <c r="T448" s="123"/>
      <c r="U448" s="123"/>
      <c r="V448" s="123"/>
      <c r="W448" s="123"/>
    </row>
    <row r="449">
      <c r="G449" s="85"/>
      <c r="H449" s="85"/>
      <c r="R449" s="123"/>
      <c r="S449" s="122"/>
      <c r="T449" s="123"/>
      <c r="U449" s="123"/>
      <c r="V449" s="123"/>
      <c r="W449" s="123"/>
    </row>
    <row r="450">
      <c r="G450" s="85"/>
      <c r="H450" s="85"/>
      <c r="R450" s="123"/>
      <c r="S450" s="122"/>
      <c r="T450" s="123"/>
      <c r="U450" s="123"/>
      <c r="V450" s="123"/>
      <c r="W450" s="123"/>
    </row>
    <row r="451">
      <c r="G451" s="85"/>
      <c r="H451" s="85"/>
      <c r="R451" s="123"/>
      <c r="S451" s="122"/>
      <c r="T451" s="123"/>
      <c r="U451" s="123"/>
      <c r="V451" s="123"/>
      <c r="W451" s="123"/>
    </row>
    <row r="452">
      <c r="G452" s="85"/>
      <c r="H452" s="85"/>
      <c r="R452" s="123"/>
      <c r="S452" s="122"/>
      <c r="T452" s="123"/>
      <c r="U452" s="123"/>
      <c r="V452" s="123"/>
      <c r="W452" s="123"/>
    </row>
    <row r="453">
      <c r="G453" s="85"/>
      <c r="H453" s="85"/>
      <c r="R453" s="123"/>
      <c r="S453" s="122"/>
      <c r="T453" s="123"/>
      <c r="U453" s="123"/>
      <c r="V453" s="123"/>
      <c r="W453" s="123"/>
    </row>
    <row r="454">
      <c r="G454" s="85"/>
      <c r="H454" s="85"/>
      <c r="R454" s="123"/>
      <c r="S454" s="122"/>
      <c r="T454" s="123"/>
      <c r="U454" s="123"/>
      <c r="V454" s="123"/>
      <c r="W454" s="123"/>
    </row>
    <row r="455">
      <c r="G455" s="85"/>
      <c r="H455" s="85"/>
      <c r="R455" s="123"/>
      <c r="S455" s="122"/>
      <c r="T455" s="123"/>
      <c r="U455" s="123"/>
      <c r="V455" s="123"/>
      <c r="W455" s="123"/>
    </row>
    <row r="456">
      <c r="G456" s="85"/>
      <c r="H456" s="85"/>
      <c r="R456" s="123"/>
      <c r="S456" s="122"/>
      <c r="T456" s="123"/>
      <c r="U456" s="123"/>
      <c r="V456" s="123"/>
      <c r="W456" s="123"/>
    </row>
    <row r="457">
      <c r="G457" s="85"/>
      <c r="H457" s="85"/>
      <c r="R457" s="123"/>
      <c r="S457" s="122"/>
      <c r="T457" s="123"/>
      <c r="U457" s="123"/>
      <c r="V457" s="123"/>
      <c r="W457" s="123"/>
    </row>
    <row r="458">
      <c r="G458" s="85"/>
      <c r="H458" s="85"/>
      <c r="R458" s="123"/>
      <c r="S458" s="122"/>
      <c r="T458" s="123"/>
      <c r="U458" s="123"/>
      <c r="V458" s="123"/>
      <c r="W458" s="123"/>
    </row>
    <row r="459">
      <c r="G459" s="85"/>
      <c r="H459" s="85"/>
      <c r="R459" s="123"/>
      <c r="S459" s="122"/>
      <c r="T459" s="123"/>
      <c r="U459" s="123"/>
      <c r="V459" s="123"/>
      <c r="W459" s="123"/>
    </row>
    <row r="460">
      <c r="G460" s="85"/>
      <c r="H460" s="85"/>
      <c r="R460" s="123"/>
      <c r="S460" s="122"/>
      <c r="T460" s="123"/>
      <c r="U460" s="123"/>
      <c r="V460" s="123"/>
      <c r="W460" s="123"/>
    </row>
    <row r="461">
      <c r="G461" s="85"/>
      <c r="H461" s="85"/>
      <c r="R461" s="123"/>
      <c r="S461" s="122"/>
      <c r="T461" s="123"/>
      <c r="U461" s="123"/>
      <c r="V461" s="123"/>
      <c r="W461" s="123"/>
    </row>
    <row r="462">
      <c r="G462" s="85"/>
      <c r="H462" s="85"/>
      <c r="R462" s="123"/>
      <c r="S462" s="122"/>
      <c r="T462" s="123"/>
      <c r="U462" s="123"/>
      <c r="V462" s="123"/>
      <c r="W462" s="123"/>
    </row>
    <row r="463">
      <c r="G463" s="85"/>
      <c r="H463" s="85"/>
      <c r="R463" s="123"/>
      <c r="S463" s="122"/>
      <c r="T463" s="123"/>
      <c r="U463" s="123"/>
      <c r="V463" s="123"/>
      <c r="W463" s="123"/>
    </row>
    <row r="464">
      <c r="G464" s="85"/>
      <c r="H464" s="85"/>
      <c r="R464" s="123"/>
      <c r="S464" s="122"/>
      <c r="T464" s="123"/>
      <c r="U464" s="123"/>
      <c r="V464" s="123"/>
      <c r="W464" s="123"/>
    </row>
    <row r="465">
      <c r="G465" s="85"/>
      <c r="H465" s="85"/>
      <c r="R465" s="123"/>
      <c r="S465" s="122"/>
      <c r="T465" s="123"/>
      <c r="U465" s="123"/>
      <c r="V465" s="123"/>
      <c r="W465" s="123"/>
    </row>
    <row r="466">
      <c r="G466" s="85"/>
      <c r="H466" s="85"/>
      <c r="R466" s="123"/>
      <c r="S466" s="122"/>
      <c r="T466" s="123"/>
      <c r="U466" s="123"/>
      <c r="V466" s="123"/>
      <c r="W466" s="123"/>
    </row>
    <row r="467">
      <c r="G467" s="85"/>
      <c r="H467" s="85"/>
      <c r="R467" s="123"/>
      <c r="S467" s="122"/>
      <c r="T467" s="123"/>
      <c r="U467" s="123"/>
      <c r="V467" s="123"/>
      <c r="W467" s="123"/>
    </row>
    <row r="468">
      <c r="G468" s="85"/>
      <c r="H468" s="85"/>
      <c r="R468" s="123"/>
      <c r="S468" s="122"/>
      <c r="T468" s="123"/>
      <c r="U468" s="123"/>
      <c r="V468" s="123"/>
      <c r="W468" s="123"/>
    </row>
    <row r="469">
      <c r="G469" s="85"/>
      <c r="H469" s="85"/>
      <c r="R469" s="123"/>
      <c r="S469" s="122"/>
      <c r="T469" s="123"/>
      <c r="U469" s="123"/>
      <c r="V469" s="123"/>
      <c r="W469" s="123"/>
    </row>
    <row r="470">
      <c r="G470" s="85"/>
      <c r="H470" s="85"/>
      <c r="R470" s="123"/>
      <c r="S470" s="122"/>
      <c r="T470" s="123"/>
      <c r="U470" s="123"/>
      <c r="V470" s="123"/>
      <c r="W470" s="123"/>
    </row>
    <row r="471">
      <c r="G471" s="85"/>
      <c r="H471" s="85"/>
      <c r="R471" s="123"/>
      <c r="S471" s="122"/>
      <c r="T471" s="123"/>
      <c r="U471" s="123"/>
      <c r="V471" s="123"/>
      <c r="W471" s="123"/>
    </row>
    <row r="472">
      <c r="G472" s="85"/>
      <c r="H472" s="85"/>
      <c r="R472" s="123"/>
      <c r="S472" s="122"/>
      <c r="T472" s="123"/>
      <c r="U472" s="123"/>
      <c r="V472" s="123"/>
      <c r="W472" s="123"/>
    </row>
    <row r="473">
      <c r="G473" s="85"/>
      <c r="H473" s="85"/>
      <c r="R473" s="123"/>
      <c r="S473" s="122"/>
      <c r="T473" s="123"/>
      <c r="U473" s="123"/>
      <c r="V473" s="123"/>
      <c r="W473" s="123"/>
    </row>
    <row r="474">
      <c r="G474" s="85"/>
      <c r="H474" s="85"/>
      <c r="R474" s="123"/>
      <c r="S474" s="122"/>
      <c r="T474" s="123"/>
      <c r="U474" s="123"/>
      <c r="V474" s="123"/>
      <c r="W474" s="123"/>
    </row>
    <row r="475">
      <c r="G475" s="85"/>
      <c r="H475" s="85"/>
      <c r="R475" s="123"/>
      <c r="S475" s="122"/>
      <c r="T475" s="123"/>
      <c r="U475" s="123"/>
      <c r="V475" s="123"/>
      <c r="W475" s="123"/>
    </row>
    <row r="476">
      <c r="G476" s="85"/>
      <c r="H476" s="85"/>
      <c r="R476" s="123"/>
      <c r="S476" s="122"/>
      <c r="T476" s="123"/>
      <c r="U476" s="123"/>
      <c r="V476" s="123"/>
      <c r="W476" s="123"/>
    </row>
    <row r="477">
      <c r="G477" s="85"/>
      <c r="H477" s="85"/>
      <c r="R477" s="123"/>
      <c r="S477" s="122"/>
      <c r="T477" s="123"/>
      <c r="U477" s="123"/>
      <c r="V477" s="123"/>
      <c r="W477" s="123"/>
    </row>
    <row r="478">
      <c r="G478" s="85"/>
      <c r="H478" s="85"/>
      <c r="R478" s="123"/>
      <c r="S478" s="122"/>
      <c r="T478" s="123"/>
      <c r="U478" s="123"/>
      <c r="V478" s="123"/>
      <c r="W478" s="123"/>
    </row>
    <row r="479">
      <c r="G479" s="85"/>
      <c r="H479" s="85"/>
      <c r="R479" s="123"/>
      <c r="S479" s="122"/>
      <c r="T479" s="123"/>
      <c r="U479" s="123"/>
      <c r="V479" s="123"/>
      <c r="W479" s="123"/>
    </row>
    <row r="480">
      <c r="G480" s="85"/>
      <c r="H480" s="85"/>
      <c r="R480" s="123"/>
      <c r="S480" s="122"/>
      <c r="T480" s="123"/>
      <c r="U480" s="123"/>
      <c r="V480" s="123"/>
      <c r="W480" s="123"/>
    </row>
    <row r="481">
      <c r="G481" s="85"/>
      <c r="H481" s="85"/>
      <c r="R481" s="123"/>
      <c r="S481" s="122"/>
      <c r="T481" s="123"/>
      <c r="U481" s="123"/>
      <c r="V481" s="123"/>
      <c r="W481" s="123"/>
    </row>
    <row r="482">
      <c r="G482" s="85"/>
      <c r="H482" s="85"/>
      <c r="R482" s="123"/>
      <c r="S482" s="122"/>
      <c r="T482" s="123"/>
      <c r="U482" s="123"/>
      <c r="V482" s="123"/>
      <c r="W482" s="123"/>
    </row>
    <row r="483">
      <c r="G483" s="85"/>
      <c r="H483" s="85"/>
      <c r="R483" s="123"/>
      <c r="S483" s="122"/>
      <c r="T483" s="123"/>
      <c r="U483" s="123"/>
      <c r="V483" s="123"/>
      <c r="W483" s="123"/>
    </row>
    <row r="484">
      <c r="G484" s="85"/>
      <c r="H484" s="85"/>
      <c r="R484" s="123"/>
      <c r="S484" s="122"/>
      <c r="T484" s="123"/>
      <c r="U484" s="123"/>
      <c r="V484" s="123"/>
      <c r="W484" s="123"/>
    </row>
    <row r="485">
      <c r="G485" s="85"/>
      <c r="H485" s="85"/>
      <c r="R485" s="123"/>
      <c r="S485" s="122"/>
      <c r="T485" s="123"/>
      <c r="U485" s="123"/>
      <c r="V485" s="123"/>
      <c r="W485" s="123"/>
    </row>
    <row r="486">
      <c r="G486" s="85"/>
      <c r="H486" s="85"/>
      <c r="R486" s="123"/>
      <c r="S486" s="122"/>
      <c r="T486" s="123"/>
      <c r="U486" s="123"/>
      <c r="V486" s="123"/>
      <c r="W486" s="123"/>
    </row>
    <row r="487">
      <c r="G487" s="85"/>
      <c r="H487" s="85"/>
      <c r="R487" s="123"/>
      <c r="S487" s="122"/>
      <c r="T487" s="123"/>
      <c r="U487" s="123"/>
      <c r="V487" s="123"/>
      <c r="W487" s="123"/>
    </row>
    <row r="488">
      <c r="G488" s="85"/>
      <c r="H488" s="85"/>
      <c r="R488" s="123"/>
      <c r="S488" s="122"/>
      <c r="T488" s="123"/>
      <c r="U488" s="123"/>
      <c r="V488" s="123"/>
      <c r="W488" s="123"/>
    </row>
    <row r="489">
      <c r="G489" s="85"/>
      <c r="H489" s="85"/>
      <c r="R489" s="123"/>
      <c r="S489" s="122"/>
      <c r="T489" s="123"/>
      <c r="U489" s="123"/>
      <c r="V489" s="123"/>
      <c r="W489" s="123"/>
    </row>
    <row r="490">
      <c r="G490" s="85"/>
      <c r="H490" s="85"/>
      <c r="R490" s="123"/>
      <c r="S490" s="122"/>
      <c r="T490" s="123"/>
      <c r="U490" s="123"/>
      <c r="V490" s="123"/>
      <c r="W490" s="123"/>
    </row>
    <row r="491">
      <c r="G491" s="85"/>
      <c r="H491" s="85"/>
      <c r="R491" s="123"/>
      <c r="S491" s="122"/>
      <c r="T491" s="123"/>
      <c r="U491" s="123"/>
      <c r="V491" s="123"/>
      <c r="W491" s="123"/>
    </row>
    <row r="492">
      <c r="G492" s="85"/>
      <c r="H492" s="85"/>
      <c r="R492" s="123"/>
      <c r="S492" s="122"/>
      <c r="T492" s="123"/>
      <c r="U492" s="123"/>
      <c r="V492" s="123"/>
      <c r="W492" s="123"/>
    </row>
    <row r="493">
      <c r="G493" s="85"/>
      <c r="H493" s="85"/>
      <c r="R493" s="123"/>
      <c r="S493" s="122"/>
      <c r="T493" s="123"/>
      <c r="U493" s="123"/>
      <c r="V493" s="123"/>
      <c r="W493" s="123"/>
    </row>
    <row r="494">
      <c r="G494" s="85"/>
      <c r="H494" s="85"/>
      <c r="R494" s="123"/>
      <c r="S494" s="122"/>
      <c r="T494" s="123"/>
      <c r="U494" s="123"/>
      <c r="V494" s="123"/>
      <c r="W494" s="123"/>
    </row>
    <row r="495">
      <c r="G495" s="85"/>
      <c r="H495" s="85"/>
      <c r="R495" s="123"/>
      <c r="S495" s="122"/>
      <c r="T495" s="123"/>
      <c r="U495" s="123"/>
      <c r="V495" s="123"/>
      <c r="W495" s="123"/>
    </row>
    <row r="496">
      <c r="G496" s="85"/>
      <c r="H496" s="85"/>
      <c r="R496" s="123"/>
      <c r="S496" s="122"/>
      <c r="T496" s="123"/>
      <c r="U496" s="123"/>
      <c r="V496" s="123"/>
      <c r="W496" s="123"/>
    </row>
    <row r="497">
      <c r="G497" s="85"/>
      <c r="H497" s="85"/>
      <c r="R497" s="123"/>
      <c r="S497" s="122"/>
      <c r="T497" s="123"/>
      <c r="U497" s="123"/>
      <c r="V497" s="123"/>
      <c r="W497" s="123"/>
    </row>
    <row r="498">
      <c r="G498" s="85"/>
      <c r="H498" s="85"/>
      <c r="R498" s="123"/>
      <c r="S498" s="122"/>
      <c r="T498" s="123"/>
      <c r="U498" s="123"/>
      <c r="V498" s="123"/>
      <c r="W498" s="123"/>
    </row>
    <row r="499">
      <c r="G499" s="85"/>
      <c r="H499" s="85"/>
      <c r="R499" s="123"/>
      <c r="S499" s="122"/>
      <c r="T499" s="123"/>
      <c r="U499" s="123"/>
      <c r="V499" s="123"/>
      <c r="W499" s="123"/>
    </row>
    <row r="500">
      <c r="G500" s="85"/>
      <c r="H500" s="85"/>
      <c r="R500" s="123"/>
      <c r="S500" s="122"/>
      <c r="T500" s="123"/>
      <c r="U500" s="123"/>
      <c r="V500" s="123"/>
      <c r="W500" s="123"/>
    </row>
    <row r="501">
      <c r="G501" s="85"/>
      <c r="H501" s="85"/>
      <c r="R501" s="123"/>
      <c r="S501" s="122"/>
      <c r="T501" s="123"/>
      <c r="U501" s="123"/>
      <c r="V501" s="123"/>
      <c r="W501" s="123"/>
    </row>
    <row r="502">
      <c r="G502" s="85"/>
      <c r="H502" s="85"/>
      <c r="R502" s="123"/>
      <c r="S502" s="122"/>
      <c r="T502" s="123"/>
      <c r="U502" s="123"/>
      <c r="V502" s="123"/>
      <c r="W502" s="123"/>
    </row>
    <row r="503">
      <c r="G503" s="85"/>
      <c r="H503" s="85"/>
      <c r="R503" s="123"/>
      <c r="S503" s="122"/>
      <c r="T503" s="123"/>
      <c r="U503" s="123"/>
      <c r="V503" s="123"/>
      <c r="W503" s="123"/>
    </row>
    <row r="504">
      <c r="G504" s="85"/>
      <c r="H504" s="85"/>
      <c r="R504" s="123"/>
      <c r="S504" s="122"/>
      <c r="T504" s="123"/>
      <c r="U504" s="123"/>
      <c r="V504" s="123"/>
      <c r="W504" s="123"/>
    </row>
    <row r="505">
      <c r="G505" s="85"/>
      <c r="H505" s="85"/>
      <c r="R505" s="123"/>
      <c r="S505" s="122"/>
      <c r="T505" s="123"/>
      <c r="U505" s="123"/>
      <c r="V505" s="123"/>
      <c r="W505" s="123"/>
    </row>
    <row r="506">
      <c r="G506" s="85"/>
      <c r="H506" s="85"/>
      <c r="R506" s="123"/>
      <c r="S506" s="122"/>
      <c r="T506" s="123"/>
      <c r="U506" s="123"/>
      <c r="V506" s="123"/>
      <c r="W506" s="123"/>
    </row>
    <row r="507">
      <c r="G507" s="85"/>
      <c r="H507" s="85"/>
      <c r="R507" s="123"/>
      <c r="S507" s="122"/>
      <c r="T507" s="123"/>
      <c r="U507" s="123"/>
      <c r="V507" s="123"/>
      <c r="W507" s="123"/>
    </row>
    <row r="508">
      <c r="G508" s="85"/>
      <c r="H508" s="85"/>
      <c r="R508" s="123"/>
      <c r="S508" s="122"/>
      <c r="T508" s="123"/>
      <c r="U508" s="123"/>
      <c r="V508" s="123"/>
      <c r="W508" s="123"/>
    </row>
    <row r="509">
      <c r="G509" s="85"/>
      <c r="H509" s="85"/>
      <c r="R509" s="123"/>
      <c r="S509" s="122"/>
      <c r="T509" s="123"/>
      <c r="U509" s="123"/>
      <c r="V509" s="123"/>
      <c r="W509" s="123"/>
    </row>
    <row r="510">
      <c r="G510" s="85"/>
      <c r="H510" s="85"/>
      <c r="R510" s="123"/>
      <c r="S510" s="122"/>
      <c r="T510" s="123"/>
      <c r="U510" s="123"/>
      <c r="V510" s="123"/>
      <c r="W510" s="123"/>
    </row>
    <row r="511">
      <c r="G511" s="85"/>
      <c r="H511" s="85"/>
      <c r="R511" s="123"/>
      <c r="S511" s="122"/>
      <c r="T511" s="123"/>
      <c r="U511" s="123"/>
      <c r="V511" s="123"/>
      <c r="W511" s="123"/>
    </row>
    <row r="512">
      <c r="G512" s="85"/>
      <c r="H512" s="85"/>
      <c r="R512" s="123"/>
      <c r="S512" s="122"/>
      <c r="T512" s="123"/>
      <c r="U512" s="123"/>
      <c r="V512" s="123"/>
      <c r="W512" s="123"/>
    </row>
    <row r="513">
      <c r="G513" s="85"/>
      <c r="H513" s="85"/>
      <c r="R513" s="123"/>
      <c r="S513" s="122"/>
      <c r="T513" s="123"/>
      <c r="U513" s="123"/>
      <c r="V513" s="123"/>
      <c r="W513" s="123"/>
    </row>
    <row r="514">
      <c r="G514" s="85"/>
      <c r="H514" s="85"/>
      <c r="R514" s="123"/>
      <c r="S514" s="122"/>
      <c r="T514" s="123"/>
      <c r="U514" s="123"/>
      <c r="V514" s="123"/>
      <c r="W514" s="123"/>
    </row>
    <row r="515">
      <c r="G515" s="85"/>
      <c r="H515" s="85"/>
      <c r="R515" s="123"/>
      <c r="S515" s="122"/>
      <c r="T515" s="123"/>
      <c r="U515" s="123"/>
      <c r="V515" s="123"/>
      <c r="W515" s="123"/>
    </row>
    <row r="516">
      <c r="G516" s="85"/>
      <c r="H516" s="85"/>
      <c r="R516" s="123"/>
      <c r="S516" s="122"/>
      <c r="T516" s="123"/>
      <c r="U516" s="123"/>
      <c r="V516" s="123"/>
      <c r="W516" s="123"/>
    </row>
    <row r="517">
      <c r="G517" s="85"/>
      <c r="H517" s="85"/>
      <c r="R517" s="123"/>
      <c r="S517" s="122"/>
      <c r="T517" s="123"/>
      <c r="U517" s="123"/>
      <c r="V517" s="123"/>
      <c r="W517" s="123"/>
    </row>
    <row r="518">
      <c r="G518" s="85"/>
      <c r="H518" s="85"/>
      <c r="R518" s="123"/>
      <c r="S518" s="122"/>
      <c r="T518" s="123"/>
      <c r="U518" s="123"/>
      <c r="V518" s="123"/>
      <c r="W518" s="123"/>
    </row>
    <row r="519">
      <c r="G519" s="85"/>
      <c r="H519" s="85"/>
      <c r="R519" s="123"/>
      <c r="S519" s="122"/>
      <c r="T519" s="123"/>
      <c r="U519" s="123"/>
      <c r="V519" s="123"/>
      <c r="W519" s="123"/>
    </row>
    <row r="520">
      <c r="G520" s="85"/>
      <c r="H520" s="85"/>
      <c r="R520" s="123"/>
      <c r="S520" s="122"/>
      <c r="T520" s="123"/>
      <c r="U520" s="123"/>
      <c r="V520" s="123"/>
      <c r="W520" s="123"/>
    </row>
    <row r="521">
      <c r="G521" s="85"/>
      <c r="H521" s="85"/>
      <c r="R521" s="123"/>
      <c r="S521" s="122"/>
      <c r="T521" s="123"/>
      <c r="U521" s="123"/>
      <c r="V521" s="123"/>
      <c r="W521" s="123"/>
    </row>
    <row r="522">
      <c r="G522" s="85"/>
      <c r="H522" s="85"/>
      <c r="R522" s="123"/>
      <c r="S522" s="122"/>
      <c r="T522" s="123"/>
      <c r="U522" s="123"/>
      <c r="V522" s="123"/>
      <c r="W522" s="123"/>
    </row>
    <row r="523">
      <c r="G523" s="85"/>
      <c r="H523" s="85"/>
      <c r="R523" s="123"/>
      <c r="S523" s="122"/>
      <c r="T523" s="123"/>
      <c r="U523" s="123"/>
      <c r="V523" s="123"/>
      <c r="W523" s="123"/>
    </row>
    <row r="524">
      <c r="G524" s="85"/>
      <c r="H524" s="85"/>
      <c r="R524" s="123"/>
      <c r="S524" s="122"/>
      <c r="T524" s="123"/>
      <c r="U524" s="123"/>
      <c r="V524" s="123"/>
      <c r="W524" s="123"/>
    </row>
    <row r="525">
      <c r="G525" s="85"/>
      <c r="H525" s="85"/>
      <c r="R525" s="123"/>
      <c r="S525" s="122"/>
      <c r="T525" s="123"/>
      <c r="U525" s="123"/>
      <c r="V525" s="123"/>
      <c r="W525" s="123"/>
    </row>
    <row r="526">
      <c r="G526" s="85"/>
      <c r="H526" s="85"/>
      <c r="R526" s="123"/>
      <c r="S526" s="122"/>
      <c r="T526" s="123"/>
      <c r="U526" s="123"/>
      <c r="V526" s="123"/>
      <c r="W526" s="123"/>
    </row>
    <row r="527">
      <c r="G527" s="85"/>
      <c r="H527" s="85"/>
      <c r="R527" s="123"/>
      <c r="S527" s="122"/>
      <c r="T527" s="123"/>
      <c r="U527" s="123"/>
      <c r="V527" s="123"/>
      <c r="W527" s="123"/>
    </row>
    <row r="528">
      <c r="G528" s="85"/>
      <c r="H528" s="85"/>
      <c r="R528" s="123"/>
      <c r="S528" s="122"/>
      <c r="T528" s="123"/>
      <c r="U528" s="123"/>
      <c r="V528" s="123"/>
      <c r="W528" s="123"/>
    </row>
    <row r="529">
      <c r="G529" s="85"/>
      <c r="H529" s="85"/>
      <c r="R529" s="123"/>
      <c r="S529" s="122"/>
      <c r="T529" s="123"/>
      <c r="U529" s="123"/>
      <c r="V529" s="123"/>
      <c r="W529" s="123"/>
    </row>
    <row r="530">
      <c r="G530" s="85"/>
      <c r="H530" s="85"/>
      <c r="R530" s="123"/>
      <c r="S530" s="122"/>
      <c r="T530" s="123"/>
      <c r="U530" s="123"/>
      <c r="V530" s="123"/>
      <c r="W530" s="123"/>
    </row>
    <row r="531">
      <c r="G531" s="85"/>
      <c r="H531" s="85"/>
      <c r="R531" s="123"/>
      <c r="S531" s="122"/>
      <c r="T531" s="123"/>
      <c r="U531" s="123"/>
      <c r="V531" s="123"/>
      <c r="W531" s="123"/>
    </row>
    <row r="532">
      <c r="G532" s="85"/>
      <c r="H532" s="85"/>
      <c r="R532" s="123"/>
      <c r="S532" s="122"/>
      <c r="T532" s="123"/>
      <c r="U532" s="123"/>
      <c r="V532" s="123"/>
      <c r="W532" s="123"/>
    </row>
    <row r="533">
      <c r="G533" s="85"/>
      <c r="H533" s="85"/>
      <c r="R533" s="123"/>
      <c r="S533" s="122"/>
      <c r="T533" s="123"/>
      <c r="U533" s="123"/>
      <c r="V533" s="123"/>
      <c r="W533" s="123"/>
    </row>
    <row r="534">
      <c r="G534" s="85"/>
      <c r="H534" s="85"/>
      <c r="R534" s="123"/>
      <c r="S534" s="122"/>
      <c r="T534" s="123"/>
      <c r="U534" s="123"/>
      <c r="V534" s="123"/>
      <c r="W534" s="123"/>
    </row>
    <row r="535">
      <c r="G535" s="85"/>
      <c r="H535" s="85"/>
      <c r="R535" s="123"/>
      <c r="S535" s="122"/>
      <c r="T535" s="123"/>
      <c r="U535" s="123"/>
      <c r="V535" s="123"/>
      <c r="W535" s="123"/>
    </row>
    <row r="536">
      <c r="G536" s="85"/>
      <c r="H536" s="85"/>
      <c r="R536" s="123"/>
      <c r="S536" s="122"/>
      <c r="T536" s="123"/>
      <c r="U536" s="123"/>
      <c r="V536" s="123"/>
      <c r="W536" s="123"/>
    </row>
    <row r="537">
      <c r="G537" s="85"/>
      <c r="H537" s="85"/>
      <c r="R537" s="123"/>
      <c r="S537" s="122"/>
      <c r="T537" s="123"/>
      <c r="U537" s="123"/>
      <c r="V537" s="123"/>
      <c r="W537" s="123"/>
    </row>
    <row r="538">
      <c r="G538" s="85"/>
      <c r="H538" s="85"/>
      <c r="R538" s="123"/>
      <c r="S538" s="122"/>
      <c r="T538" s="123"/>
      <c r="U538" s="123"/>
      <c r="V538" s="123"/>
      <c r="W538" s="123"/>
    </row>
    <row r="539">
      <c r="G539" s="85"/>
      <c r="H539" s="85"/>
      <c r="R539" s="123"/>
      <c r="S539" s="122"/>
      <c r="T539" s="123"/>
      <c r="U539" s="123"/>
      <c r="V539" s="123"/>
      <c r="W539" s="123"/>
    </row>
    <row r="540">
      <c r="G540" s="85"/>
      <c r="H540" s="85"/>
      <c r="R540" s="123"/>
      <c r="S540" s="122"/>
      <c r="T540" s="123"/>
      <c r="U540" s="123"/>
      <c r="V540" s="123"/>
      <c r="W540" s="123"/>
    </row>
    <row r="541">
      <c r="G541" s="85"/>
      <c r="H541" s="85"/>
      <c r="R541" s="123"/>
      <c r="S541" s="122"/>
      <c r="T541" s="123"/>
      <c r="U541" s="123"/>
      <c r="V541" s="123"/>
      <c r="W541" s="123"/>
    </row>
    <row r="542">
      <c r="G542" s="85"/>
      <c r="H542" s="85"/>
      <c r="R542" s="123"/>
      <c r="S542" s="122"/>
      <c r="T542" s="123"/>
      <c r="U542" s="123"/>
      <c r="V542" s="123"/>
      <c r="W542" s="123"/>
    </row>
    <row r="543">
      <c r="G543" s="85"/>
      <c r="H543" s="85"/>
      <c r="R543" s="123"/>
      <c r="S543" s="122"/>
      <c r="T543" s="123"/>
      <c r="U543" s="123"/>
      <c r="V543" s="123"/>
      <c r="W543" s="123"/>
    </row>
    <row r="544">
      <c r="G544" s="85"/>
      <c r="H544" s="85"/>
      <c r="R544" s="123"/>
      <c r="S544" s="122"/>
      <c r="T544" s="123"/>
      <c r="U544" s="123"/>
      <c r="V544" s="123"/>
      <c r="W544" s="123"/>
    </row>
    <row r="545">
      <c r="G545" s="85"/>
      <c r="H545" s="85"/>
      <c r="R545" s="123"/>
      <c r="S545" s="122"/>
      <c r="T545" s="123"/>
      <c r="U545" s="123"/>
      <c r="V545" s="123"/>
      <c r="W545" s="123"/>
    </row>
    <row r="546">
      <c r="G546" s="85"/>
      <c r="H546" s="85"/>
      <c r="R546" s="123"/>
      <c r="S546" s="122"/>
      <c r="T546" s="123"/>
      <c r="U546" s="123"/>
      <c r="V546" s="123"/>
      <c r="W546" s="123"/>
    </row>
    <row r="547">
      <c r="G547" s="85"/>
      <c r="H547" s="85"/>
      <c r="R547" s="123"/>
      <c r="S547" s="122"/>
      <c r="T547" s="123"/>
      <c r="U547" s="123"/>
      <c r="V547" s="123"/>
      <c r="W547" s="123"/>
    </row>
    <row r="548">
      <c r="G548" s="85"/>
      <c r="H548" s="85"/>
      <c r="R548" s="123"/>
      <c r="S548" s="122"/>
      <c r="T548" s="123"/>
      <c r="U548" s="123"/>
      <c r="V548" s="123"/>
      <c r="W548" s="123"/>
    </row>
    <row r="549">
      <c r="G549" s="85"/>
      <c r="H549" s="85"/>
      <c r="R549" s="123"/>
      <c r="S549" s="122"/>
      <c r="T549" s="123"/>
      <c r="U549" s="123"/>
      <c r="V549" s="123"/>
      <c r="W549" s="123"/>
    </row>
    <row r="550">
      <c r="G550" s="85"/>
      <c r="H550" s="85"/>
      <c r="R550" s="123"/>
      <c r="S550" s="122"/>
      <c r="T550" s="123"/>
      <c r="U550" s="123"/>
      <c r="V550" s="123"/>
      <c r="W550" s="123"/>
    </row>
    <row r="551">
      <c r="G551" s="85"/>
      <c r="H551" s="85"/>
      <c r="R551" s="123"/>
      <c r="S551" s="122"/>
      <c r="T551" s="123"/>
      <c r="U551" s="123"/>
      <c r="V551" s="123"/>
      <c r="W551" s="123"/>
    </row>
    <row r="552">
      <c r="G552" s="85"/>
      <c r="H552" s="85"/>
      <c r="R552" s="123"/>
      <c r="S552" s="122"/>
      <c r="T552" s="123"/>
      <c r="U552" s="123"/>
      <c r="V552" s="123"/>
      <c r="W552" s="123"/>
    </row>
    <row r="553">
      <c r="G553" s="85"/>
      <c r="H553" s="85"/>
      <c r="R553" s="123"/>
      <c r="S553" s="122"/>
      <c r="T553" s="123"/>
      <c r="U553" s="123"/>
      <c r="V553" s="123"/>
      <c r="W553" s="123"/>
    </row>
    <row r="554">
      <c r="G554" s="85"/>
      <c r="H554" s="85"/>
      <c r="R554" s="123"/>
      <c r="S554" s="122"/>
      <c r="T554" s="123"/>
      <c r="U554" s="123"/>
      <c r="V554" s="123"/>
      <c r="W554" s="123"/>
    </row>
    <row r="555">
      <c r="G555" s="85"/>
      <c r="H555" s="85"/>
      <c r="R555" s="123"/>
      <c r="S555" s="122"/>
      <c r="T555" s="123"/>
      <c r="U555" s="123"/>
      <c r="V555" s="123"/>
      <c r="W555" s="123"/>
    </row>
    <row r="556">
      <c r="G556" s="85"/>
      <c r="H556" s="85"/>
      <c r="R556" s="123"/>
      <c r="S556" s="122"/>
      <c r="T556" s="123"/>
      <c r="U556" s="123"/>
      <c r="V556" s="123"/>
      <c r="W556" s="123"/>
    </row>
    <row r="557">
      <c r="G557" s="85"/>
      <c r="H557" s="85"/>
      <c r="R557" s="123"/>
      <c r="S557" s="122"/>
      <c r="T557" s="123"/>
      <c r="U557" s="123"/>
      <c r="V557" s="123"/>
      <c r="W557" s="123"/>
    </row>
    <row r="558">
      <c r="G558" s="85"/>
      <c r="H558" s="85"/>
      <c r="R558" s="123"/>
      <c r="S558" s="122"/>
      <c r="T558" s="123"/>
      <c r="U558" s="123"/>
      <c r="V558" s="123"/>
      <c r="W558" s="123"/>
    </row>
    <row r="559">
      <c r="G559" s="85"/>
      <c r="H559" s="85"/>
      <c r="R559" s="123"/>
      <c r="S559" s="122"/>
      <c r="T559" s="123"/>
      <c r="U559" s="123"/>
      <c r="V559" s="123"/>
      <c r="W559" s="123"/>
    </row>
    <row r="560">
      <c r="G560" s="85"/>
      <c r="H560" s="85"/>
      <c r="R560" s="123"/>
      <c r="S560" s="122"/>
      <c r="T560" s="123"/>
      <c r="U560" s="123"/>
      <c r="V560" s="123"/>
      <c r="W560" s="123"/>
    </row>
    <row r="561">
      <c r="G561" s="85"/>
      <c r="H561" s="85"/>
      <c r="R561" s="123"/>
      <c r="S561" s="122"/>
      <c r="T561" s="123"/>
      <c r="U561" s="123"/>
      <c r="V561" s="123"/>
      <c r="W561" s="123"/>
    </row>
    <row r="562">
      <c r="G562" s="85"/>
      <c r="H562" s="85"/>
      <c r="R562" s="123"/>
      <c r="S562" s="122"/>
      <c r="T562" s="123"/>
      <c r="U562" s="123"/>
      <c r="V562" s="123"/>
      <c r="W562" s="123"/>
    </row>
    <row r="563">
      <c r="G563" s="85"/>
      <c r="H563" s="85"/>
      <c r="R563" s="123"/>
      <c r="S563" s="122"/>
      <c r="T563" s="123"/>
      <c r="U563" s="123"/>
      <c r="V563" s="123"/>
      <c r="W563" s="123"/>
    </row>
    <row r="564">
      <c r="G564" s="85"/>
      <c r="H564" s="85"/>
      <c r="R564" s="123"/>
      <c r="S564" s="122"/>
      <c r="T564" s="123"/>
      <c r="U564" s="123"/>
      <c r="V564" s="123"/>
      <c r="W564" s="123"/>
    </row>
    <row r="565">
      <c r="G565" s="85"/>
      <c r="H565" s="85"/>
      <c r="R565" s="123"/>
      <c r="S565" s="122"/>
      <c r="T565" s="123"/>
      <c r="U565" s="123"/>
      <c r="V565" s="123"/>
      <c r="W565" s="123"/>
    </row>
    <row r="566">
      <c r="G566" s="85"/>
      <c r="H566" s="85"/>
      <c r="R566" s="123"/>
      <c r="S566" s="122"/>
      <c r="T566" s="123"/>
      <c r="U566" s="123"/>
      <c r="V566" s="123"/>
      <c r="W566" s="123"/>
    </row>
    <row r="567">
      <c r="G567" s="85"/>
      <c r="H567" s="85"/>
      <c r="R567" s="123"/>
      <c r="S567" s="122"/>
      <c r="T567" s="123"/>
      <c r="U567" s="123"/>
      <c r="V567" s="123"/>
      <c r="W567" s="123"/>
    </row>
    <row r="568">
      <c r="G568" s="85"/>
      <c r="H568" s="85"/>
      <c r="R568" s="123"/>
      <c r="S568" s="122"/>
      <c r="T568" s="123"/>
      <c r="U568" s="123"/>
      <c r="V568" s="123"/>
      <c r="W568" s="123"/>
    </row>
    <row r="569">
      <c r="G569" s="85"/>
      <c r="H569" s="85"/>
      <c r="R569" s="123"/>
      <c r="S569" s="122"/>
      <c r="T569" s="123"/>
      <c r="U569" s="123"/>
      <c r="V569" s="123"/>
      <c r="W569" s="123"/>
    </row>
    <row r="570">
      <c r="G570" s="85"/>
      <c r="H570" s="85"/>
      <c r="R570" s="123"/>
      <c r="S570" s="122"/>
      <c r="T570" s="123"/>
      <c r="U570" s="123"/>
      <c r="V570" s="123"/>
      <c r="W570" s="123"/>
    </row>
    <row r="571">
      <c r="G571" s="85"/>
      <c r="H571" s="85"/>
      <c r="R571" s="123"/>
      <c r="S571" s="122"/>
      <c r="T571" s="123"/>
      <c r="U571" s="123"/>
      <c r="V571" s="123"/>
      <c r="W571" s="123"/>
    </row>
    <row r="572">
      <c r="G572" s="85"/>
      <c r="H572" s="85"/>
      <c r="R572" s="123"/>
      <c r="S572" s="122"/>
      <c r="T572" s="123"/>
      <c r="U572" s="123"/>
      <c r="V572" s="123"/>
      <c r="W572" s="123"/>
    </row>
    <row r="573">
      <c r="G573" s="85"/>
      <c r="H573" s="85"/>
      <c r="R573" s="123"/>
      <c r="S573" s="122"/>
      <c r="T573" s="123"/>
      <c r="U573" s="123"/>
      <c r="V573" s="123"/>
      <c r="W573" s="123"/>
    </row>
    <row r="574">
      <c r="G574" s="85"/>
      <c r="H574" s="85"/>
      <c r="R574" s="123"/>
      <c r="S574" s="122"/>
      <c r="T574" s="123"/>
      <c r="U574" s="123"/>
      <c r="V574" s="123"/>
      <c r="W574" s="123"/>
    </row>
    <row r="575">
      <c r="G575" s="85"/>
      <c r="H575" s="85"/>
      <c r="R575" s="123"/>
      <c r="S575" s="122"/>
      <c r="T575" s="123"/>
      <c r="U575" s="123"/>
      <c r="V575" s="123"/>
      <c r="W575" s="123"/>
    </row>
    <row r="576">
      <c r="G576" s="85"/>
      <c r="H576" s="85"/>
      <c r="R576" s="123"/>
      <c r="S576" s="122"/>
      <c r="T576" s="123"/>
      <c r="U576" s="123"/>
      <c r="V576" s="123"/>
      <c r="W576" s="123"/>
    </row>
    <row r="577">
      <c r="G577" s="85"/>
      <c r="H577" s="85"/>
      <c r="R577" s="123"/>
      <c r="S577" s="122"/>
      <c r="T577" s="123"/>
      <c r="U577" s="123"/>
      <c r="V577" s="123"/>
      <c r="W577" s="123"/>
    </row>
    <row r="578">
      <c r="G578" s="85"/>
      <c r="H578" s="85"/>
      <c r="R578" s="123"/>
      <c r="S578" s="122"/>
      <c r="T578" s="123"/>
      <c r="U578" s="123"/>
      <c r="V578" s="123"/>
      <c r="W578" s="123"/>
    </row>
    <row r="579">
      <c r="G579" s="85"/>
      <c r="H579" s="85"/>
      <c r="R579" s="123"/>
      <c r="S579" s="122"/>
      <c r="T579" s="123"/>
      <c r="U579" s="123"/>
      <c r="V579" s="123"/>
      <c r="W579" s="123"/>
    </row>
    <row r="580">
      <c r="G580" s="85"/>
      <c r="H580" s="85"/>
      <c r="R580" s="123"/>
      <c r="S580" s="122"/>
      <c r="T580" s="123"/>
      <c r="U580" s="123"/>
      <c r="V580" s="123"/>
      <c r="W580" s="123"/>
    </row>
    <row r="581">
      <c r="G581" s="85"/>
      <c r="H581" s="85"/>
      <c r="R581" s="123"/>
      <c r="S581" s="122"/>
      <c r="T581" s="123"/>
      <c r="U581" s="123"/>
      <c r="V581" s="123"/>
      <c r="W581" s="123"/>
    </row>
    <row r="582">
      <c r="G582" s="85"/>
      <c r="H582" s="85"/>
      <c r="R582" s="123"/>
      <c r="S582" s="122"/>
      <c r="T582" s="123"/>
      <c r="U582" s="123"/>
      <c r="V582" s="123"/>
      <c r="W582" s="123"/>
    </row>
    <row r="583">
      <c r="G583" s="85"/>
      <c r="H583" s="85"/>
      <c r="R583" s="123"/>
      <c r="S583" s="122"/>
      <c r="T583" s="123"/>
      <c r="U583" s="123"/>
      <c r="V583" s="123"/>
      <c r="W583" s="123"/>
    </row>
    <row r="584">
      <c r="G584" s="85"/>
      <c r="H584" s="85"/>
      <c r="R584" s="123"/>
      <c r="S584" s="122"/>
      <c r="T584" s="123"/>
      <c r="U584" s="123"/>
      <c r="V584" s="123"/>
      <c r="W584" s="123"/>
    </row>
    <row r="585">
      <c r="G585" s="85"/>
      <c r="H585" s="85"/>
      <c r="R585" s="123"/>
      <c r="S585" s="122"/>
      <c r="T585" s="123"/>
      <c r="U585" s="123"/>
      <c r="V585" s="123"/>
      <c r="W585" s="123"/>
    </row>
    <row r="586">
      <c r="G586" s="85"/>
      <c r="H586" s="85"/>
      <c r="R586" s="123"/>
      <c r="S586" s="122"/>
      <c r="T586" s="123"/>
      <c r="U586" s="123"/>
      <c r="V586" s="123"/>
      <c r="W586" s="123"/>
    </row>
    <row r="587">
      <c r="G587" s="85"/>
      <c r="H587" s="85"/>
      <c r="R587" s="123"/>
      <c r="S587" s="122"/>
      <c r="T587" s="123"/>
      <c r="U587" s="123"/>
      <c r="V587" s="123"/>
      <c r="W587" s="123"/>
    </row>
    <row r="588">
      <c r="G588" s="85"/>
      <c r="H588" s="85"/>
      <c r="R588" s="123"/>
      <c r="S588" s="122"/>
      <c r="T588" s="123"/>
      <c r="U588" s="123"/>
      <c r="V588" s="123"/>
      <c r="W588" s="123"/>
    </row>
    <row r="589">
      <c r="G589" s="85"/>
      <c r="H589" s="85"/>
      <c r="R589" s="123"/>
      <c r="S589" s="122"/>
      <c r="T589" s="123"/>
      <c r="U589" s="123"/>
      <c r="V589" s="123"/>
      <c r="W589" s="123"/>
    </row>
    <row r="590">
      <c r="G590" s="85"/>
      <c r="H590" s="85"/>
      <c r="R590" s="123"/>
      <c r="S590" s="122"/>
      <c r="T590" s="123"/>
      <c r="U590" s="123"/>
      <c r="V590" s="123"/>
      <c r="W590" s="123"/>
    </row>
    <row r="591">
      <c r="G591" s="85"/>
      <c r="H591" s="85"/>
      <c r="R591" s="123"/>
      <c r="S591" s="122"/>
      <c r="T591" s="123"/>
      <c r="U591" s="123"/>
      <c r="V591" s="123"/>
      <c r="W591" s="123"/>
    </row>
    <row r="592">
      <c r="G592" s="85"/>
      <c r="H592" s="85"/>
      <c r="R592" s="123"/>
      <c r="S592" s="122"/>
      <c r="T592" s="123"/>
      <c r="U592" s="123"/>
      <c r="V592" s="123"/>
      <c r="W592" s="123"/>
    </row>
    <row r="593">
      <c r="G593" s="85"/>
      <c r="H593" s="85"/>
      <c r="R593" s="123"/>
      <c r="S593" s="122"/>
      <c r="T593" s="123"/>
      <c r="U593" s="123"/>
      <c r="V593" s="123"/>
      <c r="W593" s="123"/>
    </row>
    <row r="594">
      <c r="G594" s="85"/>
      <c r="H594" s="85"/>
      <c r="R594" s="123"/>
      <c r="S594" s="122"/>
      <c r="T594" s="123"/>
      <c r="U594" s="123"/>
      <c r="V594" s="123"/>
      <c r="W594" s="123"/>
    </row>
    <row r="595">
      <c r="G595" s="85"/>
      <c r="H595" s="85"/>
      <c r="R595" s="123"/>
      <c r="S595" s="122"/>
      <c r="T595" s="123"/>
      <c r="U595" s="123"/>
      <c r="V595" s="123"/>
      <c r="W595" s="123"/>
    </row>
    <row r="596">
      <c r="G596" s="85"/>
      <c r="H596" s="85"/>
      <c r="R596" s="123"/>
      <c r="S596" s="122"/>
      <c r="T596" s="123"/>
      <c r="U596" s="123"/>
      <c r="V596" s="123"/>
      <c r="W596" s="123"/>
    </row>
    <row r="597">
      <c r="G597" s="85"/>
      <c r="H597" s="85"/>
      <c r="R597" s="123"/>
      <c r="S597" s="122"/>
      <c r="T597" s="123"/>
      <c r="U597" s="123"/>
      <c r="V597" s="123"/>
      <c r="W597" s="123"/>
    </row>
    <row r="598">
      <c r="G598" s="85"/>
      <c r="H598" s="85"/>
      <c r="R598" s="123"/>
      <c r="S598" s="122"/>
      <c r="T598" s="123"/>
      <c r="U598" s="123"/>
      <c r="V598" s="123"/>
      <c r="W598" s="123"/>
    </row>
    <row r="599">
      <c r="G599" s="85"/>
      <c r="H599" s="85"/>
      <c r="R599" s="123"/>
      <c r="S599" s="122"/>
      <c r="T599" s="123"/>
      <c r="U599" s="123"/>
      <c r="V599" s="123"/>
      <c r="W599" s="123"/>
    </row>
    <row r="600">
      <c r="G600" s="85"/>
      <c r="H600" s="85"/>
      <c r="R600" s="123"/>
      <c r="S600" s="122"/>
      <c r="T600" s="123"/>
      <c r="U600" s="123"/>
      <c r="V600" s="123"/>
      <c r="W600" s="123"/>
    </row>
    <row r="601">
      <c r="G601" s="85"/>
      <c r="H601" s="85"/>
      <c r="R601" s="123"/>
      <c r="S601" s="122"/>
      <c r="T601" s="123"/>
      <c r="U601" s="123"/>
      <c r="V601" s="123"/>
      <c r="W601" s="123"/>
    </row>
    <row r="602">
      <c r="G602" s="85"/>
      <c r="H602" s="85"/>
      <c r="R602" s="123"/>
      <c r="S602" s="122"/>
      <c r="T602" s="123"/>
      <c r="U602" s="123"/>
      <c r="V602" s="123"/>
      <c r="W602" s="123"/>
    </row>
    <row r="603">
      <c r="G603" s="85"/>
      <c r="H603" s="85"/>
      <c r="R603" s="123"/>
      <c r="S603" s="122"/>
      <c r="T603" s="123"/>
      <c r="U603" s="123"/>
      <c r="V603" s="123"/>
      <c r="W603" s="123"/>
    </row>
    <row r="604">
      <c r="G604" s="85"/>
      <c r="H604" s="85"/>
      <c r="R604" s="123"/>
      <c r="S604" s="122"/>
      <c r="T604" s="123"/>
      <c r="U604" s="123"/>
      <c r="V604" s="123"/>
      <c r="W604" s="123"/>
    </row>
    <row r="605">
      <c r="G605" s="85"/>
      <c r="H605" s="85"/>
      <c r="R605" s="123"/>
      <c r="S605" s="122"/>
      <c r="T605" s="123"/>
      <c r="U605" s="123"/>
      <c r="V605" s="123"/>
      <c r="W605" s="123"/>
    </row>
    <row r="606">
      <c r="G606" s="85"/>
      <c r="H606" s="85"/>
      <c r="R606" s="123"/>
      <c r="S606" s="122"/>
      <c r="T606" s="123"/>
      <c r="U606" s="123"/>
      <c r="V606" s="123"/>
      <c r="W606" s="123"/>
    </row>
    <row r="607">
      <c r="G607" s="85"/>
      <c r="H607" s="85"/>
      <c r="R607" s="123"/>
      <c r="S607" s="122"/>
      <c r="T607" s="123"/>
      <c r="U607" s="123"/>
      <c r="V607" s="123"/>
      <c r="W607" s="123"/>
    </row>
    <row r="608">
      <c r="G608" s="85"/>
      <c r="H608" s="85"/>
      <c r="R608" s="123"/>
      <c r="S608" s="122"/>
      <c r="T608" s="123"/>
      <c r="U608" s="123"/>
      <c r="V608" s="123"/>
      <c r="W608" s="123"/>
    </row>
    <row r="609">
      <c r="G609" s="85"/>
      <c r="H609" s="85"/>
      <c r="R609" s="123"/>
      <c r="S609" s="122"/>
      <c r="T609" s="123"/>
      <c r="U609" s="123"/>
      <c r="V609" s="123"/>
      <c r="W609" s="123"/>
    </row>
    <row r="610">
      <c r="G610" s="85"/>
      <c r="H610" s="85"/>
      <c r="R610" s="123"/>
      <c r="S610" s="122"/>
      <c r="T610" s="123"/>
      <c r="U610" s="123"/>
      <c r="V610" s="123"/>
      <c r="W610" s="123"/>
    </row>
    <row r="611">
      <c r="G611" s="85"/>
      <c r="H611" s="85"/>
      <c r="R611" s="123"/>
      <c r="S611" s="122"/>
      <c r="T611" s="123"/>
      <c r="U611" s="123"/>
      <c r="V611" s="123"/>
      <c r="W611" s="123"/>
    </row>
    <row r="612">
      <c r="G612" s="85"/>
      <c r="H612" s="85"/>
      <c r="R612" s="123"/>
      <c r="S612" s="122"/>
      <c r="T612" s="123"/>
      <c r="U612" s="123"/>
      <c r="V612" s="123"/>
      <c r="W612" s="123"/>
    </row>
    <row r="613">
      <c r="G613" s="85"/>
      <c r="H613" s="85"/>
      <c r="R613" s="123"/>
      <c r="S613" s="122"/>
      <c r="T613" s="123"/>
      <c r="U613" s="123"/>
      <c r="V613" s="123"/>
      <c r="W613" s="123"/>
    </row>
    <row r="614">
      <c r="G614" s="85"/>
      <c r="H614" s="85"/>
      <c r="R614" s="123"/>
      <c r="S614" s="122"/>
      <c r="T614" s="123"/>
      <c r="U614" s="123"/>
      <c r="V614" s="123"/>
      <c r="W614" s="123"/>
    </row>
    <row r="615">
      <c r="G615" s="85"/>
      <c r="H615" s="85"/>
      <c r="R615" s="123"/>
      <c r="S615" s="122"/>
      <c r="T615" s="123"/>
      <c r="U615" s="123"/>
      <c r="V615" s="123"/>
      <c r="W615" s="123"/>
    </row>
    <row r="616">
      <c r="G616" s="85"/>
      <c r="H616" s="85"/>
      <c r="R616" s="123"/>
      <c r="S616" s="122"/>
      <c r="T616" s="123"/>
      <c r="U616" s="123"/>
      <c r="V616" s="123"/>
      <c r="W616" s="123"/>
    </row>
    <row r="617">
      <c r="G617" s="85"/>
      <c r="H617" s="85"/>
      <c r="R617" s="123"/>
      <c r="S617" s="122"/>
      <c r="T617" s="123"/>
      <c r="U617" s="123"/>
      <c r="V617" s="123"/>
      <c r="W617" s="123"/>
    </row>
    <row r="618">
      <c r="G618" s="85"/>
      <c r="H618" s="85"/>
      <c r="R618" s="123"/>
      <c r="S618" s="122"/>
      <c r="T618" s="123"/>
      <c r="U618" s="123"/>
      <c r="V618" s="123"/>
      <c r="W618" s="123"/>
    </row>
    <row r="619">
      <c r="G619" s="85"/>
      <c r="H619" s="85"/>
      <c r="R619" s="123"/>
      <c r="S619" s="122"/>
      <c r="T619" s="123"/>
      <c r="U619" s="123"/>
      <c r="V619" s="123"/>
      <c r="W619" s="123"/>
    </row>
    <row r="620">
      <c r="G620" s="85"/>
      <c r="H620" s="85"/>
      <c r="R620" s="123"/>
      <c r="S620" s="122"/>
      <c r="T620" s="123"/>
      <c r="U620" s="123"/>
      <c r="V620" s="123"/>
      <c r="W620" s="123"/>
    </row>
    <row r="621">
      <c r="G621" s="85"/>
      <c r="H621" s="85"/>
      <c r="R621" s="123"/>
      <c r="S621" s="122"/>
      <c r="T621" s="123"/>
      <c r="U621" s="123"/>
      <c r="V621" s="123"/>
      <c r="W621" s="123"/>
    </row>
    <row r="622">
      <c r="G622" s="85"/>
      <c r="H622" s="85"/>
      <c r="R622" s="123"/>
      <c r="S622" s="122"/>
      <c r="T622" s="123"/>
      <c r="U622" s="123"/>
      <c r="V622" s="123"/>
      <c r="W622" s="123"/>
    </row>
    <row r="623">
      <c r="G623" s="85"/>
      <c r="H623" s="85"/>
      <c r="R623" s="123"/>
      <c r="S623" s="122"/>
      <c r="T623" s="123"/>
      <c r="U623" s="123"/>
      <c r="V623" s="123"/>
      <c r="W623" s="123"/>
    </row>
    <row r="624">
      <c r="G624" s="85"/>
      <c r="H624" s="85"/>
      <c r="R624" s="123"/>
      <c r="S624" s="122"/>
      <c r="T624" s="123"/>
      <c r="U624" s="123"/>
      <c r="V624" s="123"/>
      <c r="W624" s="123"/>
    </row>
    <row r="625">
      <c r="G625" s="85"/>
      <c r="H625" s="85"/>
      <c r="R625" s="123"/>
      <c r="S625" s="122"/>
      <c r="T625" s="123"/>
      <c r="U625" s="123"/>
      <c r="V625" s="123"/>
      <c r="W625" s="123"/>
    </row>
    <row r="626">
      <c r="G626" s="85"/>
      <c r="H626" s="85"/>
      <c r="R626" s="123"/>
      <c r="S626" s="122"/>
      <c r="T626" s="123"/>
      <c r="U626" s="123"/>
      <c r="V626" s="123"/>
      <c r="W626" s="123"/>
    </row>
    <row r="627">
      <c r="G627" s="85"/>
      <c r="H627" s="85"/>
      <c r="R627" s="123"/>
      <c r="S627" s="122"/>
      <c r="T627" s="123"/>
      <c r="U627" s="123"/>
      <c r="V627" s="123"/>
      <c r="W627" s="123"/>
    </row>
    <row r="628">
      <c r="G628" s="85"/>
      <c r="H628" s="85"/>
      <c r="R628" s="123"/>
      <c r="S628" s="122"/>
      <c r="T628" s="123"/>
      <c r="U628" s="123"/>
      <c r="V628" s="123"/>
      <c r="W628" s="123"/>
    </row>
    <row r="629">
      <c r="G629" s="85"/>
      <c r="H629" s="85"/>
      <c r="R629" s="123"/>
      <c r="S629" s="122"/>
      <c r="T629" s="123"/>
      <c r="U629" s="123"/>
      <c r="V629" s="123"/>
      <c r="W629" s="123"/>
    </row>
    <row r="630">
      <c r="G630" s="85"/>
      <c r="H630" s="85"/>
      <c r="R630" s="123"/>
      <c r="S630" s="122"/>
      <c r="T630" s="123"/>
      <c r="U630" s="123"/>
      <c r="V630" s="123"/>
      <c r="W630" s="123"/>
    </row>
    <row r="631">
      <c r="G631" s="85"/>
      <c r="H631" s="85"/>
      <c r="R631" s="123"/>
      <c r="S631" s="122"/>
      <c r="T631" s="123"/>
      <c r="U631" s="123"/>
      <c r="V631" s="123"/>
      <c r="W631" s="123"/>
    </row>
    <row r="632">
      <c r="G632" s="85"/>
      <c r="H632" s="85"/>
      <c r="R632" s="123"/>
      <c r="S632" s="122"/>
      <c r="T632" s="123"/>
      <c r="U632" s="123"/>
      <c r="V632" s="123"/>
      <c r="W632" s="123"/>
    </row>
    <row r="633">
      <c r="G633" s="85"/>
      <c r="H633" s="85"/>
      <c r="R633" s="123"/>
      <c r="S633" s="122"/>
      <c r="T633" s="123"/>
      <c r="U633" s="123"/>
      <c r="V633" s="123"/>
      <c r="W633" s="123"/>
    </row>
    <row r="634">
      <c r="G634" s="85"/>
      <c r="H634" s="85"/>
      <c r="R634" s="123"/>
      <c r="S634" s="122"/>
      <c r="T634" s="123"/>
      <c r="U634" s="123"/>
      <c r="V634" s="123"/>
      <c r="W634" s="123"/>
    </row>
    <row r="635">
      <c r="G635" s="85"/>
      <c r="H635" s="85"/>
      <c r="R635" s="123"/>
      <c r="S635" s="122"/>
      <c r="T635" s="123"/>
      <c r="U635" s="123"/>
      <c r="V635" s="123"/>
      <c r="W635" s="123"/>
    </row>
    <row r="636">
      <c r="G636" s="85"/>
      <c r="H636" s="85"/>
      <c r="R636" s="123"/>
      <c r="S636" s="122"/>
      <c r="T636" s="123"/>
      <c r="U636" s="123"/>
      <c r="V636" s="123"/>
      <c r="W636" s="123"/>
    </row>
    <row r="637">
      <c r="G637" s="85"/>
      <c r="H637" s="85"/>
      <c r="R637" s="123"/>
      <c r="S637" s="122"/>
      <c r="T637" s="123"/>
      <c r="U637" s="123"/>
      <c r="V637" s="123"/>
      <c r="W637" s="123"/>
    </row>
    <row r="638">
      <c r="G638" s="85"/>
      <c r="H638" s="85"/>
      <c r="R638" s="123"/>
      <c r="S638" s="122"/>
      <c r="T638" s="123"/>
      <c r="U638" s="123"/>
      <c r="V638" s="123"/>
      <c r="W638" s="123"/>
    </row>
    <row r="639">
      <c r="G639" s="85"/>
      <c r="H639" s="85"/>
      <c r="R639" s="123"/>
      <c r="S639" s="122"/>
      <c r="T639" s="123"/>
      <c r="U639" s="123"/>
      <c r="V639" s="123"/>
      <c r="W639" s="123"/>
    </row>
    <row r="640">
      <c r="G640" s="85"/>
      <c r="H640" s="85"/>
      <c r="R640" s="123"/>
      <c r="S640" s="122"/>
      <c r="T640" s="123"/>
      <c r="U640" s="123"/>
      <c r="V640" s="123"/>
      <c r="W640" s="123"/>
    </row>
    <row r="641">
      <c r="G641" s="85"/>
      <c r="H641" s="85"/>
      <c r="R641" s="123"/>
      <c r="S641" s="122"/>
      <c r="T641" s="123"/>
      <c r="U641" s="123"/>
      <c r="V641" s="123"/>
      <c r="W641" s="123"/>
    </row>
    <row r="642">
      <c r="G642" s="85"/>
      <c r="H642" s="85"/>
      <c r="R642" s="123"/>
      <c r="S642" s="122"/>
      <c r="T642" s="123"/>
      <c r="U642" s="123"/>
      <c r="V642" s="123"/>
      <c r="W642" s="123"/>
    </row>
    <row r="643">
      <c r="G643" s="85"/>
      <c r="H643" s="85"/>
      <c r="R643" s="123"/>
      <c r="S643" s="122"/>
      <c r="T643" s="123"/>
      <c r="U643" s="123"/>
      <c r="V643" s="123"/>
      <c r="W643" s="123"/>
    </row>
    <row r="644">
      <c r="G644" s="85"/>
      <c r="H644" s="85"/>
      <c r="R644" s="123"/>
      <c r="S644" s="122"/>
      <c r="T644" s="123"/>
      <c r="U644" s="123"/>
      <c r="V644" s="123"/>
      <c r="W644" s="123"/>
    </row>
    <row r="645">
      <c r="G645" s="85"/>
      <c r="H645" s="85"/>
      <c r="R645" s="123"/>
      <c r="S645" s="122"/>
      <c r="T645" s="123"/>
      <c r="U645" s="123"/>
      <c r="V645" s="123"/>
      <c r="W645" s="123"/>
    </row>
    <row r="646">
      <c r="G646" s="85"/>
      <c r="H646" s="85"/>
      <c r="R646" s="123"/>
      <c r="S646" s="122"/>
      <c r="T646" s="123"/>
      <c r="U646" s="123"/>
      <c r="V646" s="123"/>
      <c r="W646" s="123"/>
    </row>
    <row r="647">
      <c r="G647" s="85"/>
      <c r="H647" s="85"/>
      <c r="R647" s="123"/>
      <c r="S647" s="122"/>
      <c r="T647" s="123"/>
      <c r="U647" s="123"/>
      <c r="V647" s="123"/>
      <c r="W647" s="123"/>
    </row>
    <row r="648">
      <c r="G648" s="85"/>
      <c r="H648" s="85"/>
      <c r="R648" s="123"/>
      <c r="S648" s="122"/>
      <c r="T648" s="123"/>
      <c r="U648" s="123"/>
      <c r="V648" s="123"/>
      <c r="W648" s="123"/>
    </row>
    <row r="649">
      <c r="G649" s="85"/>
      <c r="H649" s="85"/>
      <c r="R649" s="123"/>
      <c r="S649" s="122"/>
      <c r="T649" s="123"/>
      <c r="U649" s="123"/>
      <c r="V649" s="123"/>
      <c r="W649" s="123"/>
    </row>
    <row r="650">
      <c r="G650" s="85"/>
      <c r="H650" s="85"/>
      <c r="R650" s="123"/>
      <c r="S650" s="122"/>
      <c r="T650" s="123"/>
      <c r="U650" s="123"/>
      <c r="V650" s="123"/>
      <c r="W650" s="123"/>
    </row>
    <row r="651">
      <c r="G651" s="85"/>
      <c r="H651" s="85"/>
      <c r="R651" s="123"/>
      <c r="S651" s="122"/>
      <c r="T651" s="123"/>
      <c r="U651" s="123"/>
      <c r="V651" s="123"/>
      <c r="W651" s="123"/>
    </row>
    <row r="652">
      <c r="G652" s="85"/>
      <c r="H652" s="85"/>
      <c r="R652" s="123"/>
      <c r="S652" s="122"/>
      <c r="T652" s="123"/>
      <c r="U652" s="123"/>
      <c r="V652" s="123"/>
      <c r="W652" s="123"/>
    </row>
    <row r="653">
      <c r="G653" s="85"/>
      <c r="H653" s="85"/>
      <c r="R653" s="123"/>
      <c r="S653" s="122"/>
      <c r="T653" s="123"/>
      <c r="U653" s="123"/>
      <c r="V653" s="123"/>
      <c r="W653" s="123"/>
    </row>
    <row r="654">
      <c r="G654" s="85"/>
      <c r="H654" s="85"/>
      <c r="R654" s="123"/>
      <c r="S654" s="122"/>
      <c r="T654" s="123"/>
      <c r="U654" s="123"/>
      <c r="V654" s="123"/>
      <c r="W654" s="123"/>
    </row>
    <row r="655">
      <c r="G655" s="85"/>
      <c r="H655" s="85"/>
      <c r="R655" s="123"/>
      <c r="S655" s="122"/>
      <c r="T655" s="123"/>
      <c r="U655" s="123"/>
      <c r="V655" s="123"/>
      <c r="W655" s="123"/>
    </row>
    <row r="656">
      <c r="G656" s="85"/>
      <c r="H656" s="85"/>
      <c r="R656" s="123"/>
      <c r="S656" s="122"/>
      <c r="T656" s="123"/>
      <c r="U656" s="123"/>
      <c r="V656" s="123"/>
      <c r="W656" s="123"/>
    </row>
    <row r="657">
      <c r="G657" s="85"/>
      <c r="H657" s="85"/>
      <c r="R657" s="123"/>
      <c r="S657" s="122"/>
      <c r="T657" s="123"/>
      <c r="U657" s="123"/>
      <c r="V657" s="123"/>
      <c r="W657" s="123"/>
    </row>
    <row r="658">
      <c r="G658" s="85"/>
      <c r="H658" s="85"/>
      <c r="R658" s="123"/>
      <c r="S658" s="122"/>
      <c r="T658" s="123"/>
      <c r="U658" s="123"/>
      <c r="V658" s="123"/>
      <c r="W658" s="123"/>
    </row>
    <row r="659">
      <c r="G659" s="85"/>
      <c r="H659" s="85"/>
      <c r="R659" s="123"/>
      <c r="S659" s="122"/>
      <c r="T659" s="123"/>
      <c r="U659" s="123"/>
      <c r="V659" s="123"/>
      <c r="W659" s="123"/>
    </row>
    <row r="660">
      <c r="G660" s="85"/>
      <c r="H660" s="85"/>
      <c r="R660" s="123"/>
      <c r="S660" s="122"/>
      <c r="T660" s="123"/>
      <c r="U660" s="123"/>
      <c r="V660" s="123"/>
      <c r="W660" s="123"/>
    </row>
    <row r="661">
      <c r="G661" s="85"/>
      <c r="H661" s="85"/>
      <c r="R661" s="123"/>
      <c r="S661" s="122"/>
      <c r="T661" s="123"/>
      <c r="U661" s="123"/>
      <c r="V661" s="123"/>
      <c r="W661" s="123"/>
    </row>
    <row r="662">
      <c r="G662" s="85"/>
      <c r="H662" s="85"/>
      <c r="R662" s="123"/>
      <c r="S662" s="122"/>
      <c r="T662" s="123"/>
      <c r="U662" s="123"/>
      <c r="V662" s="123"/>
      <c r="W662" s="123"/>
    </row>
    <row r="663">
      <c r="G663" s="85"/>
      <c r="H663" s="85"/>
      <c r="R663" s="123"/>
      <c r="S663" s="122"/>
      <c r="T663" s="123"/>
      <c r="U663" s="123"/>
      <c r="V663" s="123"/>
      <c r="W663" s="123"/>
    </row>
    <row r="664">
      <c r="G664" s="85"/>
      <c r="H664" s="85"/>
      <c r="R664" s="123"/>
      <c r="S664" s="122"/>
      <c r="T664" s="123"/>
      <c r="U664" s="123"/>
      <c r="V664" s="123"/>
      <c r="W664" s="123"/>
    </row>
    <row r="665">
      <c r="G665" s="85"/>
      <c r="H665" s="85"/>
      <c r="R665" s="123"/>
      <c r="S665" s="122"/>
      <c r="T665" s="123"/>
      <c r="U665" s="123"/>
      <c r="V665" s="123"/>
      <c r="W665" s="123"/>
    </row>
    <row r="666">
      <c r="G666" s="85"/>
      <c r="H666" s="85"/>
      <c r="R666" s="123"/>
      <c r="S666" s="122"/>
      <c r="T666" s="123"/>
      <c r="U666" s="123"/>
      <c r="V666" s="123"/>
      <c r="W666" s="123"/>
    </row>
    <row r="667">
      <c r="G667" s="85"/>
      <c r="H667" s="85"/>
      <c r="R667" s="123"/>
      <c r="S667" s="122"/>
      <c r="T667" s="123"/>
      <c r="U667" s="123"/>
      <c r="V667" s="123"/>
      <c r="W667" s="123"/>
    </row>
    <row r="668">
      <c r="G668" s="85"/>
      <c r="H668" s="85"/>
      <c r="R668" s="123"/>
      <c r="S668" s="122"/>
      <c r="T668" s="123"/>
      <c r="U668" s="123"/>
      <c r="V668" s="123"/>
      <c r="W668" s="123"/>
    </row>
    <row r="669">
      <c r="G669" s="85"/>
      <c r="H669" s="85"/>
      <c r="R669" s="123"/>
      <c r="S669" s="122"/>
      <c r="T669" s="123"/>
      <c r="U669" s="123"/>
      <c r="V669" s="123"/>
      <c r="W669" s="123"/>
    </row>
    <row r="670">
      <c r="G670" s="85"/>
      <c r="H670" s="85"/>
      <c r="R670" s="123"/>
      <c r="S670" s="122"/>
      <c r="T670" s="123"/>
      <c r="U670" s="123"/>
      <c r="V670" s="123"/>
      <c r="W670" s="123"/>
    </row>
    <row r="671">
      <c r="G671" s="85"/>
      <c r="H671" s="85"/>
      <c r="R671" s="123"/>
      <c r="S671" s="122"/>
      <c r="T671" s="123"/>
      <c r="U671" s="123"/>
      <c r="V671" s="123"/>
      <c r="W671" s="123"/>
    </row>
    <row r="672">
      <c r="G672" s="85"/>
      <c r="H672" s="85"/>
      <c r="R672" s="123"/>
      <c r="S672" s="122"/>
      <c r="T672" s="123"/>
      <c r="U672" s="123"/>
      <c r="V672" s="123"/>
      <c r="W672" s="123"/>
    </row>
    <row r="673">
      <c r="G673" s="85"/>
      <c r="H673" s="85"/>
      <c r="R673" s="123"/>
      <c r="S673" s="122"/>
      <c r="T673" s="123"/>
      <c r="U673" s="123"/>
      <c r="V673" s="123"/>
      <c r="W673" s="123"/>
    </row>
    <row r="674">
      <c r="G674" s="85"/>
      <c r="H674" s="85"/>
      <c r="R674" s="123"/>
      <c r="S674" s="122"/>
      <c r="T674" s="123"/>
      <c r="U674" s="123"/>
      <c r="V674" s="123"/>
      <c r="W674" s="123"/>
    </row>
    <row r="675">
      <c r="G675" s="85"/>
      <c r="H675" s="85"/>
      <c r="R675" s="123"/>
      <c r="S675" s="122"/>
      <c r="T675" s="123"/>
      <c r="U675" s="123"/>
      <c r="V675" s="123"/>
      <c r="W675" s="123"/>
    </row>
    <row r="676">
      <c r="G676" s="85"/>
      <c r="H676" s="85"/>
      <c r="R676" s="123"/>
      <c r="S676" s="122"/>
      <c r="T676" s="123"/>
      <c r="U676" s="123"/>
      <c r="V676" s="123"/>
      <c r="W676" s="123"/>
    </row>
    <row r="677">
      <c r="G677" s="85"/>
      <c r="H677" s="85"/>
      <c r="R677" s="123"/>
      <c r="S677" s="122"/>
      <c r="T677" s="123"/>
      <c r="U677" s="123"/>
      <c r="V677" s="123"/>
      <c r="W677" s="123"/>
    </row>
    <row r="678">
      <c r="G678" s="85"/>
      <c r="H678" s="85"/>
      <c r="R678" s="123"/>
      <c r="S678" s="122"/>
      <c r="T678" s="123"/>
      <c r="U678" s="123"/>
      <c r="V678" s="123"/>
      <c r="W678" s="123"/>
    </row>
    <row r="679">
      <c r="G679" s="85"/>
      <c r="H679" s="85"/>
      <c r="R679" s="123"/>
      <c r="S679" s="122"/>
      <c r="T679" s="123"/>
      <c r="U679" s="123"/>
      <c r="V679" s="123"/>
      <c r="W679" s="123"/>
    </row>
    <row r="680">
      <c r="G680" s="85"/>
      <c r="H680" s="85"/>
      <c r="R680" s="123"/>
      <c r="S680" s="122"/>
      <c r="T680" s="123"/>
      <c r="U680" s="123"/>
      <c r="V680" s="123"/>
      <c r="W680" s="123"/>
    </row>
    <row r="681">
      <c r="G681" s="85"/>
      <c r="H681" s="85"/>
      <c r="R681" s="123"/>
      <c r="S681" s="122"/>
      <c r="T681" s="123"/>
      <c r="U681" s="123"/>
      <c r="V681" s="123"/>
      <c r="W681" s="123"/>
    </row>
    <row r="682">
      <c r="G682" s="85"/>
      <c r="H682" s="85"/>
      <c r="R682" s="123"/>
      <c r="S682" s="122"/>
      <c r="T682" s="123"/>
      <c r="U682" s="123"/>
      <c r="V682" s="123"/>
      <c r="W682" s="123"/>
    </row>
    <row r="683">
      <c r="G683" s="85"/>
      <c r="H683" s="85"/>
      <c r="R683" s="123"/>
      <c r="S683" s="122"/>
      <c r="T683" s="123"/>
      <c r="U683" s="123"/>
      <c r="V683" s="123"/>
      <c r="W683" s="123"/>
    </row>
    <row r="684">
      <c r="G684" s="85"/>
      <c r="H684" s="85"/>
      <c r="R684" s="123"/>
      <c r="S684" s="122"/>
      <c r="T684" s="123"/>
      <c r="U684" s="123"/>
      <c r="V684" s="123"/>
      <c r="W684" s="123"/>
    </row>
    <row r="685">
      <c r="G685" s="85"/>
      <c r="H685" s="85"/>
      <c r="R685" s="123"/>
      <c r="S685" s="122"/>
      <c r="T685" s="123"/>
      <c r="U685" s="123"/>
      <c r="V685" s="123"/>
      <c r="W685" s="123"/>
    </row>
    <row r="686">
      <c r="G686" s="85"/>
      <c r="H686" s="85"/>
      <c r="R686" s="123"/>
      <c r="S686" s="122"/>
      <c r="T686" s="123"/>
      <c r="U686" s="123"/>
      <c r="V686" s="123"/>
      <c r="W686" s="123"/>
    </row>
    <row r="687">
      <c r="G687" s="85"/>
      <c r="H687" s="85"/>
      <c r="R687" s="123"/>
      <c r="S687" s="122"/>
      <c r="T687" s="123"/>
      <c r="U687" s="123"/>
      <c r="V687" s="123"/>
      <c r="W687" s="123"/>
    </row>
    <row r="688">
      <c r="G688" s="85"/>
      <c r="H688" s="85"/>
      <c r="R688" s="123"/>
      <c r="S688" s="122"/>
      <c r="T688" s="123"/>
      <c r="U688" s="123"/>
      <c r="V688" s="123"/>
      <c r="W688" s="123"/>
    </row>
    <row r="689">
      <c r="G689" s="85"/>
      <c r="H689" s="85"/>
      <c r="R689" s="123"/>
      <c r="S689" s="122"/>
      <c r="T689" s="123"/>
      <c r="U689" s="123"/>
      <c r="V689" s="123"/>
      <c r="W689" s="123"/>
    </row>
    <row r="690">
      <c r="G690" s="85"/>
      <c r="H690" s="85"/>
      <c r="R690" s="123"/>
      <c r="S690" s="122"/>
      <c r="T690" s="123"/>
      <c r="U690" s="123"/>
      <c r="V690" s="123"/>
      <c r="W690" s="123"/>
    </row>
    <row r="691">
      <c r="G691" s="85"/>
      <c r="H691" s="85"/>
      <c r="R691" s="123"/>
      <c r="S691" s="122"/>
      <c r="T691" s="123"/>
      <c r="U691" s="123"/>
      <c r="V691" s="123"/>
      <c r="W691" s="123"/>
    </row>
    <row r="692">
      <c r="G692" s="85"/>
      <c r="H692" s="85"/>
      <c r="R692" s="123"/>
      <c r="S692" s="122"/>
      <c r="T692" s="123"/>
      <c r="U692" s="123"/>
      <c r="V692" s="123"/>
      <c r="W692" s="123"/>
    </row>
    <row r="693">
      <c r="G693" s="85"/>
      <c r="H693" s="85"/>
      <c r="R693" s="123"/>
      <c r="S693" s="122"/>
      <c r="T693" s="123"/>
      <c r="U693" s="123"/>
      <c r="V693" s="123"/>
      <c r="W693" s="123"/>
    </row>
    <row r="694">
      <c r="G694" s="85"/>
      <c r="H694" s="85"/>
      <c r="R694" s="123"/>
      <c r="S694" s="122"/>
      <c r="T694" s="123"/>
      <c r="U694" s="123"/>
      <c r="V694" s="123"/>
      <c r="W694" s="123"/>
    </row>
    <row r="695">
      <c r="G695" s="85"/>
      <c r="H695" s="85"/>
      <c r="R695" s="123"/>
      <c r="S695" s="122"/>
      <c r="T695" s="123"/>
      <c r="U695" s="123"/>
      <c r="V695" s="123"/>
      <c r="W695" s="123"/>
    </row>
    <row r="696">
      <c r="G696" s="85"/>
      <c r="H696" s="85"/>
      <c r="R696" s="123"/>
      <c r="S696" s="122"/>
      <c r="T696" s="123"/>
      <c r="U696" s="123"/>
      <c r="V696" s="123"/>
      <c r="W696" s="123"/>
    </row>
    <row r="697">
      <c r="G697" s="85"/>
      <c r="H697" s="85"/>
      <c r="R697" s="123"/>
      <c r="S697" s="122"/>
      <c r="T697" s="123"/>
      <c r="U697" s="123"/>
      <c r="V697" s="123"/>
      <c r="W697" s="123"/>
    </row>
    <row r="698">
      <c r="G698" s="85"/>
      <c r="H698" s="85"/>
      <c r="R698" s="123"/>
      <c r="S698" s="122"/>
      <c r="T698" s="123"/>
      <c r="U698" s="123"/>
      <c r="V698" s="123"/>
      <c r="W698" s="123"/>
    </row>
    <row r="699">
      <c r="G699" s="85"/>
      <c r="H699" s="85"/>
      <c r="R699" s="123"/>
      <c r="S699" s="122"/>
      <c r="T699" s="123"/>
      <c r="U699" s="123"/>
      <c r="V699" s="123"/>
      <c r="W699" s="123"/>
    </row>
    <row r="700">
      <c r="G700" s="85"/>
      <c r="H700" s="85"/>
      <c r="R700" s="123"/>
      <c r="S700" s="122"/>
      <c r="T700" s="123"/>
      <c r="U700" s="123"/>
      <c r="V700" s="123"/>
      <c r="W700" s="123"/>
    </row>
    <row r="701">
      <c r="G701" s="85"/>
      <c r="H701" s="85"/>
      <c r="R701" s="123"/>
      <c r="S701" s="122"/>
      <c r="T701" s="123"/>
      <c r="U701" s="123"/>
      <c r="V701" s="123"/>
      <c r="W701" s="123"/>
    </row>
    <row r="702">
      <c r="G702" s="85"/>
      <c r="H702" s="85"/>
      <c r="R702" s="123"/>
      <c r="S702" s="122"/>
      <c r="T702" s="123"/>
      <c r="U702" s="123"/>
      <c r="V702" s="123"/>
      <c r="W702" s="123"/>
    </row>
    <row r="703">
      <c r="G703" s="85"/>
      <c r="H703" s="85"/>
      <c r="R703" s="123"/>
      <c r="S703" s="122"/>
      <c r="T703" s="123"/>
      <c r="U703" s="123"/>
      <c r="V703" s="123"/>
      <c r="W703" s="123"/>
    </row>
    <row r="704">
      <c r="G704" s="85"/>
      <c r="H704" s="85"/>
      <c r="R704" s="123"/>
      <c r="S704" s="122"/>
      <c r="T704" s="123"/>
      <c r="U704" s="123"/>
      <c r="V704" s="123"/>
      <c r="W704" s="123"/>
    </row>
    <row r="705">
      <c r="G705" s="85"/>
      <c r="H705" s="85"/>
      <c r="R705" s="123"/>
      <c r="S705" s="122"/>
      <c r="T705" s="123"/>
      <c r="U705" s="123"/>
      <c r="V705" s="123"/>
      <c r="W705" s="123"/>
    </row>
    <row r="706">
      <c r="G706" s="85"/>
      <c r="H706" s="85"/>
      <c r="R706" s="123"/>
      <c r="S706" s="122"/>
      <c r="T706" s="123"/>
      <c r="U706" s="123"/>
      <c r="V706" s="123"/>
      <c r="W706" s="123"/>
    </row>
    <row r="707">
      <c r="G707" s="85"/>
      <c r="H707" s="85"/>
      <c r="R707" s="123"/>
      <c r="S707" s="122"/>
      <c r="T707" s="123"/>
      <c r="U707" s="123"/>
      <c r="V707" s="123"/>
      <c r="W707" s="123"/>
    </row>
    <row r="708">
      <c r="G708" s="85"/>
      <c r="H708" s="85"/>
      <c r="R708" s="123"/>
      <c r="S708" s="122"/>
      <c r="T708" s="123"/>
      <c r="U708" s="123"/>
      <c r="V708" s="123"/>
      <c r="W708" s="123"/>
    </row>
    <row r="709">
      <c r="G709" s="85"/>
      <c r="H709" s="85"/>
      <c r="R709" s="123"/>
      <c r="S709" s="122"/>
      <c r="T709" s="123"/>
      <c r="U709" s="123"/>
      <c r="V709" s="123"/>
      <c r="W709" s="123"/>
    </row>
    <row r="710">
      <c r="G710" s="85"/>
      <c r="H710" s="85"/>
      <c r="R710" s="123"/>
      <c r="S710" s="122"/>
      <c r="T710" s="123"/>
      <c r="U710" s="123"/>
      <c r="V710" s="123"/>
      <c r="W710" s="123"/>
    </row>
    <row r="711">
      <c r="G711" s="85"/>
      <c r="H711" s="85"/>
      <c r="R711" s="123"/>
      <c r="S711" s="122"/>
      <c r="T711" s="123"/>
      <c r="U711" s="123"/>
      <c r="V711" s="123"/>
      <c r="W711" s="123"/>
    </row>
    <row r="712">
      <c r="G712" s="85"/>
      <c r="H712" s="85"/>
      <c r="R712" s="123"/>
      <c r="S712" s="122"/>
      <c r="T712" s="123"/>
      <c r="U712" s="123"/>
      <c r="V712" s="123"/>
      <c r="W712" s="123"/>
    </row>
    <row r="713">
      <c r="G713" s="85"/>
      <c r="H713" s="85"/>
      <c r="R713" s="123"/>
      <c r="S713" s="122"/>
      <c r="T713" s="123"/>
      <c r="U713" s="123"/>
      <c r="V713" s="123"/>
      <c r="W713" s="123"/>
    </row>
    <row r="714">
      <c r="G714" s="85"/>
      <c r="H714" s="85"/>
      <c r="R714" s="123"/>
      <c r="S714" s="122"/>
      <c r="T714" s="123"/>
      <c r="U714" s="123"/>
      <c r="V714" s="123"/>
      <c r="W714" s="123"/>
    </row>
    <row r="715">
      <c r="G715" s="85"/>
      <c r="H715" s="85"/>
      <c r="R715" s="123"/>
      <c r="S715" s="122"/>
      <c r="T715" s="123"/>
      <c r="U715" s="123"/>
      <c r="V715" s="123"/>
      <c r="W715" s="123"/>
    </row>
    <row r="716">
      <c r="G716" s="85"/>
      <c r="H716" s="85"/>
      <c r="R716" s="123"/>
      <c r="S716" s="122"/>
      <c r="T716" s="123"/>
      <c r="U716" s="123"/>
      <c r="V716" s="123"/>
      <c r="W716" s="123"/>
    </row>
    <row r="717">
      <c r="G717" s="85"/>
      <c r="H717" s="85"/>
      <c r="R717" s="123"/>
      <c r="S717" s="122"/>
      <c r="T717" s="123"/>
      <c r="U717" s="123"/>
      <c r="V717" s="123"/>
      <c r="W717" s="123"/>
    </row>
    <row r="718">
      <c r="G718" s="85"/>
      <c r="H718" s="85"/>
      <c r="R718" s="123"/>
      <c r="S718" s="122"/>
      <c r="T718" s="123"/>
      <c r="U718" s="123"/>
      <c r="V718" s="123"/>
      <c r="W718" s="123"/>
    </row>
    <row r="719">
      <c r="G719" s="85"/>
      <c r="H719" s="85"/>
      <c r="R719" s="123"/>
      <c r="S719" s="122"/>
      <c r="T719" s="123"/>
      <c r="U719" s="123"/>
      <c r="V719" s="123"/>
      <c r="W719" s="123"/>
    </row>
    <row r="720">
      <c r="G720" s="85"/>
      <c r="H720" s="85"/>
      <c r="R720" s="123"/>
      <c r="S720" s="122"/>
      <c r="T720" s="123"/>
      <c r="U720" s="123"/>
      <c r="V720" s="123"/>
      <c r="W720" s="123"/>
    </row>
    <row r="721">
      <c r="G721" s="85"/>
      <c r="H721" s="85"/>
      <c r="R721" s="123"/>
      <c r="S721" s="122"/>
      <c r="T721" s="123"/>
      <c r="U721" s="123"/>
      <c r="V721" s="123"/>
      <c r="W721" s="123"/>
    </row>
    <row r="722">
      <c r="G722" s="85"/>
      <c r="H722" s="85"/>
      <c r="R722" s="123"/>
      <c r="S722" s="122"/>
      <c r="T722" s="123"/>
      <c r="U722" s="123"/>
      <c r="V722" s="123"/>
      <c r="W722" s="123"/>
    </row>
    <row r="723">
      <c r="G723" s="85"/>
      <c r="H723" s="85"/>
      <c r="R723" s="123"/>
      <c r="S723" s="122"/>
      <c r="T723" s="123"/>
      <c r="U723" s="123"/>
      <c r="V723" s="123"/>
      <c r="W723" s="123"/>
    </row>
    <row r="724">
      <c r="G724" s="85"/>
      <c r="H724" s="85"/>
      <c r="R724" s="123"/>
      <c r="S724" s="122"/>
      <c r="T724" s="123"/>
      <c r="U724" s="123"/>
      <c r="V724" s="123"/>
      <c r="W724" s="123"/>
    </row>
    <row r="725">
      <c r="G725" s="85"/>
      <c r="H725" s="85"/>
      <c r="R725" s="123"/>
      <c r="S725" s="122"/>
      <c r="T725" s="123"/>
      <c r="U725" s="123"/>
      <c r="V725" s="123"/>
      <c r="W725" s="123"/>
    </row>
    <row r="726">
      <c r="G726" s="85"/>
      <c r="H726" s="85"/>
      <c r="R726" s="123"/>
      <c r="S726" s="122"/>
      <c r="T726" s="123"/>
      <c r="U726" s="123"/>
      <c r="V726" s="123"/>
      <c r="W726" s="123"/>
    </row>
    <row r="727">
      <c r="G727" s="85"/>
      <c r="H727" s="85"/>
      <c r="R727" s="123"/>
      <c r="S727" s="122"/>
      <c r="T727" s="123"/>
      <c r="U727" s="123"/>
      <c r="V727" s="123"/>
      <c r="W727" s="123"/>
    </row>
    <row r="728">
      <c r="G728" s="85"/>
      <c r="H728" s="85"/>
      <c r="R728" s="123"/>
      <c r="S728" s="122"/>
      <c r="T728" s="123"/>
      <c r="U728" s="123"/>
      <c r="V728" s="123"/>
      <c r="W728" s="123"/>
    </row>
    <row r="729">
      <c r="G729" s="85"/>
      <c r="H729" s="85"/>
      <c r="R729" s="123"/>
      <c r="S729" s="122"/>
      <c r="T729" s="123"/>
      <c r="U729" s="123"/>
      <c r="V729" s="123"/>
      <c r="W729" s="123"/>
    </row>
    <row r="730">
      <c r="G730" s="85"/>
      <c r="H730" s="85"/>
      <c r="R730" s="123"/>
      <c r="S730" s="122"/>
      <c r="T730" s="123"/>
      <c r="U730" s="123"/>
      <c r="V730" s="123"/>
      <c r="W730" s="123"/>
    </row>
    <row r="731">
      <c r="G731" s="85"/>
      <c r="H731" s="85"/>
      <c r="R731" s="123"/>
      <c r="S731" s="122"/>
      <c r="T731" s="123"/>
      <c r="U731" s="123"/>
      <c r="V731" s="123"/>
      <c r="W731" s="123"/>
    </row>
    <row r="732">
      <c r="G732" s="85"/>
      <c r="H732" s="85"/>
      <c r="R732" s="123"/>
      <c r="S732" s="122"/>
      <c r="T732" s="123"/>
      <c r="U732" s="123"/>
      <c r="V732" s="123"/>
      <c r="W732" s="123"/>
    </row>
    <row r="733">
      <c r="G733" s="85"/>
      <c r="H733" s="85"/>
      <c r="R733" s="123"/>
      <c r="S733" s="122"/>
      <c r="T733" s="123"/>
      <c r="U733" s="123"/>
      <c r="V733" s="123"/>
      <c r="W733" s="123"/>
    </row>
    <row r="734">
      <c r="G734" s="85"/>
      <c r="H734" s="85"/>
      <c r="R734" s="123"/>
      <c r="S734" s="122"/>
      <c r="T734" s="123"/>
      <c r="U734" s="123"/>
      <c r="V734" s="123"/>
      <c r="W734" s="123"/>
    </row>
    <row r="735">
      <c r="G735" s="85"/>
      <c r="H735" s="85"/>
      <c r="R735" s="123"/>
      <c r="S735" s="122"/>
      <c r="T735" s="123"/>
      <c r="U735" s="123"/>
      <c r="V735" s="123"/>
      <c r="W735" s="123"/>
    </row>
    <row r="736">
      <c r="G736" s="85"/>
      <c r="H736" s="85"/>
      <c r="R736" s="123"/>
      <c r="S736" s="122"/>
      <c r="T736" s="123"/>
      <c r="U736" s="123"/>
      <c r="V736" s="123"/>
      <c r="W736" s="123"/>
    </row>
    <row r="737">
      <c r="G737" s="85"/>
      <c r="H737" s="85"/>
      <c r="R737" s="123"/>
      <c r="S737" s="122"/>
      <c r="T737" s="123"/>
      <c r="U737" s="123"/>
      <c r="V737" s="123"/>
      <c r="W737" s="123"/>
    </row>
    <row r="738">
      <c r="G738" s="85"/>
      <c r="H738" s="85"/>
      <c r="R738" s="123"/>
      <c r="S738" s="122"/>
      <c r="T738" s="123"/>
      <c r="U738" s="123"/>
      <c r="V738" s="123"/>
      <c r="W738" s="123"/>
    </row>
    <row r="739">
      <c r="G739" s="85"/>
      <c r="H739" s="85"/>
      <c r="R739" s="123"/>
      <c r="S739" s="122"/>
      <c r="T739" s="123"/>
      <c r="U739" s="123"/>
      <c r="V739" s="123"/>
      <c r="W739" s="123"/>
    </row>
    <row r="740">
      <c r="G740" s="85"/>
      <c r="H740" s="85"/>
      <c r="R740" s="123"/>
      <c r="S740" s="122"/>
      <c r="T740" s="123"/>
      <c r="U740" s="123"/>
      <c r="V740" s="123"/>
      <c r="W740" s="123"/>
    </row>
    <row r="741">
      <c r="G741" s="85"/>
      <c r="H741" s="85"/>
      <c r="R741" s="123"/>
      <c r="S741" s="122"/>
      <c r="T741" s="123"/>
      <c r="U741" s="123"/>
      <c r="V741" s="123"/>
      <c r="W741" s="123"/>
    </row>
    <row r="742">
      <c r="G742" s="85"/>
      <c r="H742" s="85"/>
      <c r="R742" s="123"/>
      <c r="S742" s="122"/>
      <c r="T742" s="123"/>
      <c r="U742" s="123"/>
      <c r="V742" s="123"/>
      <c r="W742" s="123"/>
    </row>
    <row r="743">
      <c r="G743" s="85"/>
      <c r="H743" s="85"/>
      <c r="R743" s="123"/>
      <c r="S743" s="122"/>
      <c r="T743" s="123"/>
      <c r="U743" s="123"/>
      <c r="V743" s="123"/>
      <c r="W743" s="123"/>
    </row>
    <row r="744">
      <c r="G744" s="85"/>
      <c r="H744" s="85"/>
      <c r="R744" s="123"/>
      <c r="S744" s="122"/>
      <c r="T744" s="123"/>
      <c r="U744" s="123"/>
      <c r="V744" s="123"/>
      <c r="W744" s="123"/>
    </row>
    <row r="745">
      <c r="G745" s="85"/>
      <c r="H745" s="85"/>
      <c r="R745" s="123"/>
      <c r="S745" s="122"/>
      <c r="T745" s="123"/>
      <c r="U745" s="123"/>
      <c r="V745" s="123"/>
      <c r="W745" s="123"/>
    </row>
    <row r="746">
      <c r="G746" s="85"/>
      <c r="H746" s="85"/>
      <c r="R746" s="123"/>
      <c r="S746" s="122"/>
      <c r="T746" s="123"/>
      <c r="U746" s="123"/>
      <c r="V746" s="123"/>
      <c r="W746" s="123"/>
    </row>
    <row r="747">
      <c r="G747" s="85"/>
      <c r="H747" s="85"/>
      <c r="R747" s="123"/>
      <c r="S747" s="122"/>
      <c r="T747" s="123"/>
      <c r="U747" s="123"/>
      <c r="V747" s="123"/>
      <c r="W747" s="123"/>
    </row>
    <row r="748">
      <c r="G748" s="85"/>
      <c r="H748" s="85"/>
      <c r="R748" s="123"/>
      <c r="S748" s="122"/>
      <c r="T748" s="123"/>
      <c r="U748" s="123"/>
      <c r="V748" s="123"/>
      <c r="W748" s="123"/>
    </row>
    <row r="749">
      <c r="G749" s="85"/>
      <c r="H749" s="85"/>
      <c r="R749" s="123"/>
      <c r="S749" s="122"/>
      <c r="T749" s="123"/>
      <c r="U749" s="123"/>
      <c r="V749" s="123"/>
      <c r="W749" s="123"/>
    </row>
    <row r="750">
      <c r="G750" s="85"/>
      <c r="H750" s="85"/>
      <c r="R750" s="123"/>
      <c r="S750" s="122"/>
      <c r="T750" s="123"/>
      <c r="U750" s="123"/>
      <c r="V750" s="123"/>
      <c r="W750" s="123"/>
    </row>
    <row r="751">
      <c r="G751" s="85"/>
      <c r="H751" s="85"/>
      <c r="R751" s="123"/>
      <c r="S751" s="122"/>
      <c r="T751" s="123"/>
      <c r="U751" s="123"/>
      <c r="V751" s="123"/>
      <c r="W751" s="123"/>
    </row>
    <row r="752">
      <c r="G752" s="85"/>
      <c r="H752" s="85"/>
      <c r="R752" s="123"/>
      <c r="S752" s="122"/>
      <c r="T752" s="123"/>
      <c r="U752" s="123"/>
      <c r="V752" s="123"/>
      <c r="W752" s="123"/>
    </row>
    <row r="753">
      <c r="G753" s="85"/>
      <c r="H753" s="85"/>
      <c r="R753" s="123"/>
      <c r="S753" s="122"/>
      <c r="T753" s="123"/>
      <c r="U753" s="123"/>
      <c r="V753" s="123"/>
      <c r="W753" s="123"/>
    </row>
    <row r="754">
      <c r="G754" s="85"/>
      <c r="H754" s="85"/>
      <c r="R754" s="123"/>
      <c r="S754" s="122"/>
      <c r="T754" s="123"/>
      <c r="U754" s="123"/>
      <c r="V754" s="123"/>
      <c r="W754" s="123"/>
    </row>
    <row r="755">
      <c r="G755" s="85"/>
      <c r="H755" s="85"/>
      <c r="R755" s="123"/>
      <c r="S755" s="122"/>
      <c r="T755" s="123"/>
      <c r="U755" s="123"/>
      <c r="V755" s="123"/>
      <c r="W755" s="123"/>
    </row>
    <row r="756">
      <c r="G756" s="85"/>
      <c r="H756" s="85"/>
      <c r="R756" s="123"/>
      <c r="S756" s="122"/>
      <c r="T756" s="123"/>
      <c r="U756" s="123"/>
      <c r="V756" s="123"/>
      <c r="W756" s="123"/>
    </row>
    <row r="757">
      <c r="G757" s="85"/>
      <c r="H757" s="85"/>
      <c r="R757" s="123"/>
      <c r="S757" s="122"/>
      <c r="T757" s="123"/>
      <c r="U757" s="123"/>
      <c r="V757" s="123"/>
      <c r="W757" s="123"/>
    </row>
    <row r="758">
      <c r="G758" s="85"/>
      <c r="H758" s="85"/>
      <c r="R758" s="123"/>
      <c r="S758" s="122"/>
      <c r="T758" s="123"/>
      <c r="U758" s="123"/>
      <c r="V758" s="123"/>
      <c r="W758" s="123"/>
    </row>
    <row r="759">
      <c r="G759" s="85"/>
      <c r="H759" s="85"/>
      <c r="R759" s="123"/>
      <c r="S759" s="122"/>
      <c r="T759" s="123"/>
      <c r="U759" s="123"/>
      <c r="V759" s="123"/>
      <c r="W759" s="123"/>
    </row>
    <row r="760">
      <c r="G760" s="85"/>
      <c r="H760" s="85"/>
      <c r="R760" s="123"/>
      <c r="S760" s="122"/>
      <c r="T760" s="123"/>
      <c r="U760" s="123"/>
      <c r="V760" s="123"/>
      <c r="W760" s="123"/>
    </row>
    <row r="761">
      <c r="G761" s="85"/>
      <c r="H761" s="85"/>
      <c r="R761" s="123"/>
      <c r="S761" s="122"/>
      <c r="T761" s="123"/>
      <c r="U761" s="123"/>
      <c r="V761" s="123"/>
      <c r="W761" s="123"/>
    </row>
    <row r="762">
      <c r="G762" s="85"/>
      <c r="H762" s="85"/>
      <c r="R762" s="123"/>
      <c r="S762" s="122"/>
      <c r="T762" s="123"/>
      <c r="U762" s="123"/>
      <c r="V762" s="123"/>
      <c r="W762" s="123"/>
    </row>
    <row r="763">
      <c r="G763" s="85"/>
      <c r="H763" s="85"/>
      <c r="R763" s="123"/>
      <c r="S763" s="122"/>
      <c r="T763" s="123"/>
      <c r="U763" s="123"/>
      <c r="V763" s="123"/>
      <c r="W763" s="123"/>
    </row>
    <row r="764">
      <c r="G764" s="85"/>
      <c r="H764" s="85"/>
      <c r="R764" s="123"/>
      <c r="S764" s="122"/>
      <c r="T764" s="123"/>
      <c r="U764" s="123"/>
      <c r="V764" s="123"/>
      <c r="W764" s="123"/>
    </row>
    <row r="765">
      <c r="G765" s="85"/>
      <c r="H765" s="85"/>
      <c r="R765" s="123"/>
      <c r="S765" s="122"/>
      <c r="T765" s="123"/>
      <c r="U765" s="123"/>
      <c r="V765" s="123"/>
      <c r="W765" s="123"/>
    </row>
    <row r="766">
      <c r="G766" s="85"/>
      <c r="H766" s="85"/>
      <c r="R766" s="123"/>
      <c r="S766" s="122"/>
      <c r="T766" s="123"/>
      <c r="U766" s="123"/>
      <c r="V766" s="123"/>
      <c r="W766" s="123"/>
    </row>
    <row r="767">
      <c r="G767" s="85"/>
      <c r="H767" s="85"/>
      <c r="R767" s="123"/>
      <c r="S767" s="122"/>
      <c r="T767" s="123"/>
      <c r="U767" s="123"/>
      <c r="V767" s="123"/>
      <c r="W767" s="123"/>
    </row>
    <row r="768">
      <c r="G768" s="85"/>
      <c r="H768" s="85"/>
      <c r="R768" s="123"/>
      <c r="S768" s="122"/>
      <c r="T768" s="123"/>
      <c r="U768" s="123"/>
      <c r="V768" s="123"/>
      <c r="W768" s="123"/>
    </row>
    <row r="769">
      <c r="G769" s="85"/>
      <c r="H769" s="85"/>
      <c r="R769" s="123"/>
      <c r="S769" s="122"/>
      <c r="T769" s="123"/>
      <c r="U769" s="123"/>
      <c r="V769" s="123"/>
      <c r="W769" s="123"/>
    </row>
    <row r="770">
      <c r="G770" s="85"/>
      <c r="H770" s="85"/>
      <c r="R770" s="123"/>
      <c r="S770" s="122"/>
      <c r="T770" s="123"/>
      <c r="U770" s="123"/>
      <c r="V770" s="123"/>
      <c r="W770" s="123"/>
    </row>
    <row r="771">
      <c r="G771" s="85"/>
      <c r="H771" s="85"/>
      <c r="R771" s="123"/>
      <c r="S771" s="122"/>
      <c r="T771" s="123"/>
      <c r="U771" s="123"/>
      <c r="V771" s="123"/>
      <c r="W771" s="123"/>
    </row>
    <row r="772">
      <c r="G772" s="85"/>
      <c r="H772" s="85"/>
      <c r="R772" s="123"/>
      <c r="S772" s="122"/>
      <c r="T772" s="123"/>
      <c r="U772" s="123"/>
      <c r="V772" s="123"/>
      <c r="W772" s="123"/>
    </row>
    <row r="773">
      <c r="G773" s="85"/>
      <c r="H773" s="85"/>
      <c r="R773" s="123"/>
      <c r="S773" s="122"/>
      <c r="T773" s="123"/>
      <c r="U773" s="123"/>
      <c r="V773" s="123"/>
      <c r="W773" s="123"/>
    </row>
    <row r="774">
      <c r="G774" s="85"/>
      <c r="H774" s="85"/>
      <c r="R774" s="123"/>
      <c r="S774" s="122"/>
      <c r="T774" s="123"/>
      <c r="U774" s="123"/>
      <c r="V774" s="123"/>
      <c r="W774" s="123"/>
    </row>
    <row r="775">
      <c r="G775" s="85"/>
      <c r="H775" s="85"/>
      <c r="R775" s="123"/>
      <c r="S775" s="122"/>
      <c r="T775" s="123"/>
      <c r="U775" s="123"/>
      <c r="V775" s="123"/>
      <c r="W775" s="123"/>
    </row>
    <row r="776">
      <c r="G776" s="85"/>
      <c r="H776" s="85"/>
      <c r="R776" s="123"/>
      <c r="S776" s="122"/>
      <c r="T776" s="123"/>
      <c r="U776" s="123"/>
      <c r="V776" s="123"/>
      <c r="W776" s="123"/>
    </row>
    <row r="777">
      <c r="G777" s="85"/>
      <c r="H777" s="85"/>
      <c r="R777" s="123"/>
      <c r="S777" s="122"/>
      <c r="T777" s="123"/>
      <c r="U777" s="123"/>
      <c r="V777" s="123"/>
      <c r="W777" s="123"/>
    </row>
    <row r="778">
      <c r="G778" s="85"/>
      <c r="H778" s="85"/>
      <c r="R778" s="123"/>
      <c r="S778" s="122"/>
      <c r="T778" s="123"/>
      <c r="U778" s="123"/>
      <c r="V778" s="123"/>
      <c r="W778" s="123"/>
    </row>
    <row r="779">
      <c r="G779" s="85"/>
      <c r="H779" s="85"/>
      <c r="R779" s="123"/>
      <c r="S779" s="122"/>
      <c r="T779" s="123"/>
      <c r="U779" s="123"/>
      <c r="V779" s="123"/>
      <c r="W779" s="123"/>
    </row>
    <row r="780">
      <c r="G780" s="85"/>
      <c r="H780" s="85"/>
      <c r="R780" s="123"/>
      <c r="S780" s="122"/>
      <c r="T780" s="123"/>
      <c r="U780" s="123"/>
      <c r="V780" s="123"/>
      <c r="W780" s="123"/>
    </row>
    <row r="781">
      <c r="G781" s="85"/>
      <c r="H781" s="85"/>
      <c r="R781" s="123"/>
      <c r="S781" s="122"/>
      <c r="T781" s="123"/>
      <c r="U781" s="123"/>
      <c r="V781" s="123"/>
      <c r="W781" s="123"/>
    </row>
    <row r="782">
      <c r="G782" s="85"/>
      <c r="H782" s="85"/>
      <c r="R782" s="123"/>
      <c r="S782" s="122"/>
      <c r="T782" s="123"/>
      <c r="U782" s="123"/>
      <c r="V782" s="123"/>
      <c r="W782" s="123"/>
    </row>
    <row r="783">
      <c r="G783" s="85"/>
      <c r="H783" s="85"/>
      <c r="R783" s="123"/>
      <c r="S783" s="122"/>
      <c r="T783" s="123"/>
      <c r="U783" s="123"/>
      <c r="V783" s="123"/>
      <c r="W783" s="123"/>
    </row>
    <row r="784">
      <c r="G784" s="85"/>
      <c r="H784" s="85"/>
      <c r="R784" s="123"/>
      <c r="S784" s="122"/>
      <c r="T784" s="123"/>
      <c r="U784" s="123"/>
      <c r="V784" s="123"/>
      <c r="W784" s="123"/>
    </row>
    <row r="785">
      <c r="G785" s="85"/>
      <c r="H785" s="85"/>
      <c r="R785" s="123"/>
      <c r="S785" s="122"/>
      <c r="T785" s="123"/>
      <c r="U785" s="123"/>
      <c r="V785" s="123"/>
      <c r="W785" s="123"/>
    </row>
    <row r="786">
      <c r="G786" s="85"/>
      <c r="H786" s="85"/>
      <c r="R786" s="123"/>
      <c r="S786" s="122"/>
      <c r="T786" s="123"/>
      <c r="U786" s="123"/>
      <c r="V786" s="123"/>
      <c r="W786" s="123"/>
    </row>
    <row r="787">
      <c r="G787" s="85"/>
      <c r="H787" s="85"/>
      <c r="R787" s="123"/>
      <c r="S787" s="122"/>
      <c r="T787" s="123"/>
      <c r="U787" s="123"/>
      <c r="V787" s="123"/>
      <c r="W787" s="123"/>
    </row>
    <row r="788">
      <c r="G788" s="85"/>
      <c r="H788" s="85"/>
      <c r="R788" s="123"/>
      <c r="S788" s="122"/>
      <c r="T788" s="123"/>
      <c r="U788" s="123"/>
      <c r="V788" s="123"/>
      <c r="W788" s="123"/>
    </row>
    <row r="789">
      <c r="G789" s="85"/>
      <c r="H789" s="85"/>
      <c r="R789" s="123"/>
      <c r="S789" s="122"/>
      <c r="T789" s="123"/>
      <c r="U789" s="123"/>
      <c r="V789" s="123"/>
      <c r="W789" s="123"/>
    </row>
    <row r="790">
      <c r="G790" s="85"/>
      <c r="H790" s="85"/>
      <c r="R790" s="123"/>
      <c r="S790" s="122"/>
      <c r="T790" s="123"/>
      <c r="U790" s="123"/>
      <c r="V790" s="123"/>
      <c r="W790" s="123"/>
    </row>
    <row r="791">
      <c r="G791" s="85"/>
      <c r="H791" s="85"/>
      <c r="R791" s="123"/>
      <c r="S791" s="122"/>
      <c r="T791" s="123"/>
      <c r="U791" s="123"/>
      <c r="V791" s="123"/>
      <c r="W791" s="123"/>
    </row>
    <row r="792">
      <c r="G792" s="85"/>
      <c r="H792" s="85"/>
      <c r="R792" s="123"/>
      <c r="S792" s="122"/>
      <c r="T792" s="123"/>
      <c r="U792" s="123"/>
      <c r="V792" s="123"/>
      <c r="W792" s="123"/>
    </row>
    <row r="793">
      <c r="G793" s="85"/>
      <c r="H793" s="85"/>
      <c r="R793" s="123"/>
      <c r="S793" s="122"/>
      <c r="T793" s="123"/>
      <c r="U793" s="123"/>
      <c r="V793" s="123"/>
      <c r="W793" s="123"/>
    </row>
    <row r="794">
      <c r="G794" s="85"/>
      <c r="H794" s="85"/>
      <c r="R794" s="123"/>
      <c r="S794" s="122"/>
      <c r="T794" s="123"/>
      <c r="U794" s="123"/>
      <c r="V794" s="123"/>
      <c r="W794" s="123"/>
    </row>
    <row r="795">
      <c r="G795" s="85"/>
      <c r="H795" s="85"/>
      <c r="R795" s="123"/>
      <c r="S795" s="122"/>
      <c r="T795" s="123"/>
      <c r="U795" s="123"/>
      <c r="V795" s="123"/>
      <c r="W795" s="123"/>
    </row>
    <row r="796">
      <c r="G796" s="85"/>
      <c r="H796" s="85"/>
      <c r="R796" s="123"/>
      <c r="S796" s="122"/>
      <c r="T796" s="123"/>
      <c r="U796" s="123"/>
      <c r="V796" s="123"/>
      <c r="W796" s="123"/>
    </row>
    <row r="797">
      <c r="G797" s="85"/>
      <c r="H797" s="85"/>
      <c r="R797" s="123"/>
      <c r="S797" s="122"/>
      <c r="T797" s="123"/>
      <c r="U797" s="123"/>
      <c r="V797" s="123"/>
      <c r="W797" s="123"/>
    </row>
    <row r="798">
      <c r="G798" s="85"/>
      <c r="H798" s="85"/>
      <c r="R798" s="123"/>
      <c r="S798" s="122"/>
      <c r="T798" s="123"/>
      <c r="U798" s="123"/>
      <c r="V798" s="123"/>
      <c r="W798" s="123"/>
    </row>
    <row r="799">
      <c r="G799" s="85"/>
      <c r="H799" s="85"/>
      <c r="R799" s="123"/>
      <c r="S799" s="122"/>
      <c r="T799" s="123"/>
      <c r="U799" s="123"/>
      <c r="V799" s="123"/>
      <c r="W799" s="123"/>
    </row>
    <row r="800">
      <c r="G800" s="85"/>
      <c r="H800" s="85"/>
      <c r="R800" s="123"/>
      <c r="S800" s="122"/>
      <c r="T800" s="123"/>
      <c r="U800" s="123"/>
      <c r="V800" s="123"/>
      <c r="W800" s="123"/>
    </row>
    <row r="801">
      <c r="G801" s="85"/>
      <c r="H801" s="85"/>
      <c r="R801" s="123"/>
      <c r="S801" s="122"/>
      <c r="T801" s="123"/>
      <c r="U801" s="123"/>
      <c r="V801" s="123"/>
      <c r="W801" s="123"/>
    </row>
    <row r="802">
      <c r="G802" s="85"/>
      <c r="H802" s="85"/>
      <c r="R802" s="123"/>
      <c r="S802" s="122"/>
      <c r="T802" s="123"/>
      <c r="U802" s="123"/>
      <c r="V802" s="123"/>
      <c r="W802" s="123"/>
    </row>
    <row r="803">
      <c r="G803" s="85"/>
      <c r="H803" s="85"/>
      <c r="R803" s="123"/>
      <c r="S803" s="122"/>
      <c r="T803" s="123"/>
      <c r="U803" s="123"/>
      <c r="V803" s="123"/>
      <c r="W803" s="123"/>
    </row>
    <row r="804">
      <c r="G804" s="85"/>
      <c r="H804" s="85"/>
      <c r="R804" s="123"/>
      <c r="S804" s="122"/>
      <c r="T804" s="123"/>
      <c r="U804" s="123"/>
      <c r="V804" s="123"/>
      <c r="W804" s="123"/>
    </row>
    <row r="805">
      <c r="G805" s="85"/>
      <c r="H805" s="85"/>
      <c r="R805" s="123"/>
      <c r="S805" s="122"/>
      <c r="T805" s="123"/>
      <c r="U805" s="123"/>
      <c r="V805" s="123"/>
      <c r="W805" s="123"/>
    </row>
    <row r="806">
      <c r="G806" s="85"/>
      <c r="H806" s="85"/>
      <c r="R806" s="123"/>
      <c r="S806" s="122"/>
      <c r="T806" s="123"/>
      <c r="U806" s="123"/>
      <c r="V806" s="123"/>
      <c r="W806" s="123"/>
    </row>
    <row r="807">
      <c r="G807" s="85"/>
      <c r="H807" s="85"/>
      <c r="R807" s="123"/>
      <c r="S807" s="122"/>
      <c r="T807" s="123"/>
      <c r="U807" s="123"/>
      <c r="V807" s="123"/>
      <c r="W807" s="123"/>
    </row>
    <row r="808">
      <c r="G808" s="85"/>
      <c r="H808" s="85"/>
      <c r="R808" s="123"/>
      <c r="S808" s="122"/>
      <c r="T808" s="123"/>
      <c r="U808" s="123"/>
      <c r="V808" s="123"/>
      <c r="W808" s="123"/>
    </row>
    <row r="809">
      <c r="G809" s="85"/>
      <c r="H809" s="85"/>
      <c r="R809" s="123"/>
      <c r="S809" s="122"/>
      <c r="T809" s="123"/>
      <c r="U809" s="123"/>
      <c r="V809" s="123"/>
      <c r="W809" s="123"/>
    </row>
    <row r="810">
      <c r="G810" s="85"/>
      <c r="H810" s="85"/>
      <c r="R810" s="123"/>
      <c r="S810" s="122"/>
      <c r="T810" s="123"/>
      <c r="U810" s="123"/>
      <c r="V810" s="123"/>
      <c r="W810" s="123"/>
    </row>
    <row r="811">
      <c r="G811" s="85"/>
      <c r="H811" s="85"/>
      <c r="R811" s="123"/>
      <c r="S811" s="122"/>
      <c r="T811" s="123"/>
      <c r="U811" s="123"/>
      <c r="V811" s="123"/>
      <c r="W811" s="123"/>
    </row>
    <row r="812">
      <c r="G812" s="85"/>
      <c r="H812" s="85"/>
      <c r="R812" s="123"/>
      <c r="S812" s="122"/>
      <c r="T812" s="123"/>
      <c r="U812" s="123"/>
      <c r="V812" s="123"/>
      <c r="W812" s="123"/>
    </row>
    <row r="813">
      <c r="G813" s="85"/>
      <c r="H813" s="85"/>
      <c r="R813" s="123"/>
      <c r="S813" s="122"/>
      <c r="T813" s="123"/>
      <c r="U813" s="123"/>
      <c r="V813" s="123"/>
      <c r="W813" s="123"/>
    </row>
    <row r="814">
      <c r="G814" s="85"/>
      <c r="H814" s="85"/>
      <c r="R814" s="123"/>
      <c r="S814" s="122"/>
      <c r="T814" s="123"/>
      <c r="U814" s="123"/>
      <c r="V814" s="123"/>
      <c r="W814" s="123"/>
    </row>
    <row r="815">
      <c r="G815" s="85"/>
      <c r="H815" s="85"/>
      <c r="R815" s="123"/>
      <c r="S815" s="122"/>
      <c r="T815" s="123"/>
      <c r="U815" s="123"/>
      <c r="V815" s="123"/>
      <c r="W815" s="123"/>
    </row>
    <row r="816">
      <c r="G816" s="85"/>
      <c r="H816" s="85"/>
      <c r="R816" s="123"/>
      <c r="S816" s="122"/>
      <c r="T816" s="123"/>
      <c r="U816" s="123"/>
      <c r="V816" s="123"/>
      <c r="W816" s="123"/>
    </row>
    <row r="817">
      <c r="G817" s="85"/>
      <c r="H817" s="85"/>
      <c r="R817" s="123"/>
      <c r="S817" s="122"/>
      <c r="T817" s="123"/>
      <c r="U817" s="123"/>
      <c r="V817" s="123"/>
      <c r="W817" s="123"/>
    </row>
    <row r="818">
      <c r="G818" s="85"/>
      <c r="H818" s="85"/>
      <c r="R818" s="123"/>
      <c r="S818" s="122"/>
      <c r="T818" s="123"/>
      <c r="U818" s="123"/>
      <c r="V818" s="123"/>
      <c r="W818" s="123"/>
    </row>
    <row r="819">
      <c r="G819" s="85"/>
      <c r="H819" s="85"/>
      <c r="R819" s="123"/>
      <c r="S819" s="122"/>
      <c r="T819" s="123"/>
      <c r="U819" s="123"/>
      <c r="V819" s="123"/>
      <c r="W819" s="123"/>
    </row>
    <row r="820">
      <c r="G820" s="85"/>
      <c r="H820" s="85"/>
      <c r="R820" s="123"/>
      <c r="S820" s="122"/>
      <c r="T820" s="123"/>
      <c r="U820" s="123"/>
      <c r="V820" s="123"/>
      <c r="W820" s="123"/>
    </row>
    <row r="821">
      <c r="G821" s="85"/>
      <c r="H821" s="85"/>
      <c r="R821" s="123"/>
      <c r="S821" s="122"/>
      <c r="T821" s="123"/>
      <c r="U821" s="123"/>
      <c r="V821" s="123"/>
      <c r="W821" s="123"/>
    </row>
    <row r="822">
      <c r="G822" s="85"/>
      <c r="H822" s="85"/>
      <c r="R822" s="123"/>
      <c r="S822" s="122"/>
      <c r="T822" s="123"/>
      <c r="U822" s="123"/>
      <c r="V822" s="123"/>
      <c r="W822" s="123"/>
    </row>
    <row r="823">
      <c r="G823" s="85"/>
      <c r="H823" s="85"/>
      <c r="R823" s="123"/>
      <c r="S823" s="122"/>
      <c r="T823" s="123"/>
      <c r="U823" s="123"/>
      <c r="V823" s="123"/>
      <c r="W823" s="123"/>
    </row>
    <row r="824">
      <c r="G824" s="85"/>
      <c r="H824" s="85"/>
      <c r="R824" s="123"/>
      <c r="S824" s="122"/>
      <c r="T824" s="123"/>
      <c r="U824" s="123"/>
      <c r="V824" s="123"/>
      <c r="W824" s="123"/>
    </row>
    <row r="825">
      <c r="G825" s="85"/>
      <c r="H825" s="85"/>
      <c r="R825" s="123"/>
      <c r="S825" s="122"/>
      <c r="T825" s="123"/>
      <c r="U825" s="123"/>
      <c r="V825" s="123"/>
      <c r="W825" s="123"/>
    </row>
    <row r="826">
      <c r="G826" s="85"/>
      <c r="H826" s="85"/>
      <c r="R826" s="123"/>
      <c r="S826" s="122"/>
      <c r="T826" s="123"/>
      <c r="U826" s="123"/>
      <c r="V826" s="123"/>
      <c r="W826" s="123"/>
    </row>
    <row r="827">
      <c r="G827" s="85"/>
      <c r="H827" s="85"/>
      <c r="R827" s="123"/>
      <c r="S827" s="122"/>
      <c r="T827" s="123"/>
      <c r="U827" s="123"/>
      <c r="V827" s="123"/>
      <c r="W827" s="123"/>
    </row>
    <row r="828">
      <c r="G828" s="85"/>
      <c r="H828" s="85"/>
      <c r="R828" s="123"/>
      <c r="S828" s="122"/>
      <c r="T828" s="123"/>
      <c r="U828" s="123"/>
      <c r="V828" s="123"/>
      <c r="W828" s="123"/>
    </row>
    <row r="829">
      <c r="G829" s="85"/>
      <c r="H829" s="85"/>
      <c r="R829" s="123"/>
      <c r="S829" s="122"/>
      <c r="T829" s="123"/>
      <c r="U829" s="123"/>
      <c r="V829" s="123"/>
      <c r="W829" s="123"/>
    </row>
    <row r="830">
      <c r="G830" s="85"/>
      <c r="H830" s="85"/>
      <c r="R830" s="123"/>
      <c r="S830" s="122"/>
      <c r="T830" s="123"/>
      <c r="U830" s="123"/>
      <c r="V830" s="123"/>
      <c r="W830" s="123"/>
    </row>
    <row r="831">
      <c r="G831" s="85"/>
      <c r="H831" s="85"/>
      <c r="R831" s="123"/>
      <c r="S831" s="122"/>
      <c r="T831" s="123"/>
      <c r="U831" s="123"/>
      <c r="V831" s="123"/>
      <c r="W831" s="123"/>
    </row>
    <row r="832">
      <c r="G832" s="85"/>
      <c r="H832" s="85"/>
      <c r="R832" s="123"/>
      <c r="S832" s="122"/>
      <c r="T832" s="123"/>
      <c r="U832" s="123"/>
      <c r="V832" s="123"/>
      <c r="W832" s="123"/>
    </row>
    <row r="833">
      <c r="G833" s="85"/>
      <c r="H833" s="85"/>
      <c r="R833" s="123"/>
      <c r="S833" s="122"/>
      <c r="T833" s="123"/>
      <c r="U833" s="123"/>
      <c r="V833" s="123"/>
      <c r="W833" s="123"/>
    </row>
    <row r="834">
      <c r="G834" s="85"/>
      <c r="H834" s="85"/>
      <c r="R834" s="123"/>
      <c r="S834" s="122"/>
      <c r="T834" s="123"/>
      <c r="U834" s="123"/>
      <c r="V834" s="123"/>
      <c r="W834" s="123"/>
    </row>
    <row r="835">
      <c r="G835" s="85"/>
      <c r="H835" s="85"/>
      <c r="R835" s="123"/>
      <c r="S835" s="122"/>
      <c r="T835" s="123"/>
      <c r="U835" s="123"/>
      <c r="V835" s="123"/>
      <c r="W835" s="123"/>
    </row>
    <row r="836">
      <c r="G836" s="85"/>
      <c r="H836" s="85"/>
      <c r="R836" s="123"/>
      <c r="S836" s="122"/>
      <c r="T836" s="123"/>
      <c r="U836" s="123"/>
      <c r="V836" s="123"/>
      <c r="W836" s="123"/>
    </row>
    <row r="837">
      <c r="G837" s="85"/>
      <c r="H837" s="85"/>
      <c r="R837" s="123"/>
      <c r="S837" s="122"/>
      <c r="T837" s="123"/>
      <c r="U837" s="123"/>
      <c r="V837" s="123"/>
      <c r="W837" s="123"/>
    </row>
    <row r="838">
      <c r="G838" s="85"/>
      <c r="H838" s="85"/>
      <c r="R838" s="123"/>
      <c r="S838" s="122"/>
      <c r="T838" s="123"/>
      <c r="U838" s="123"/>
      <c r="V838" s="123"/>
      <c r="W838" s="123"/>
    </row>
    <row r="839">
      <c r="G839" s="85"/>
      <c r="H839" s="85"/>
      <c r="R839" s="123"/>
      <c r="S839" s="122"/>
      <c r="T839" s="123"/>
      <c r="U839" s="123"/>
      <c r="V839" s="123"/>
      <c r="W839" s="123"/>
    </row>
    <row r="840">
      <c r="G840" s="85"/>
      <c r="H840" s="85"/>
      <c r="R840" s="123"/>
      <c r="S840" s="122"/>
      <c r="T840" s="123"/>
      <c r="U840" s="123"/>
      <c r="V840" s="123"/>
      <c r="W840" s="123"/>
    </row>
    <row r="841">
      <c r="G841" s="85"/>
      <c r="H841" s="85"/>
      <c r="R841" s="123"/>
      <c r="S841" s="122"/>
      <c r="T841" s="123"/>
      <c r="U841" s="123"/>
      <c r="V841" s="123"/>
      <c r="W841" s="123"/>
    </row>
    <row r="842">
      <c r="G842" s="85"/>
      <c r="H842" s="85"/>
      <c r="R842" s="123"/>
      <c r="S842" s="122"/>
      <c r="T842" s="123"/>
      <c r="U842" s="123"/>
      <c r="V842" s="123"/>
      <c r="W842" s="123"/>
    </row>
    <row r="843">
      <c r="G843" s="85"/>
      <c r="H843" s="85"/>
      <c r="R843" s="123"/>
      <c r="S843" s="122"/>
      <c r="T843" s="123"/>
      <c r="U843" s="123"/>
      <c r="V843" s="123"/>
      <c r="W843" s="123"/>
    </row>
    <row r="844">
      <c r="G844" s="85"/>
      <c r="H844" s="85"/>
      <c r="R844" s="123"/>
      <c r="S844" s="122"/>
      <c r="T844" s="123"/>
      <c r="U844" s="123"/>
      <c r="V844" s="123"/>
      <c r="W844" s="123"/>
    </row>
    <row r="845">
      <c r="G845" s="85"/>
      <c r="H845" s="85"/>
      <c r="R845" s="123"/>
      <c r="S845" s="122"/>
      <c r="T845" s="123"/>
      <c r="U845" s="123"/>
      <c r="V845" s="123"/>
      <c r="W845" s="123"/>
    </row>
    <row r="846">
      <c r="G846" s="85"/>
      <c r="H846" s="85"/>
      <c r="R846" s="123"/>
      <c r="S846" s="122"/>
      <c r="T846" s="123"/>
      <c r="U846" s="123"/>
      <c r="V846" s="123"/>
      <c r="W846" s="123"/>
    </row>
    <row r="847">
      <c r="G847" s="85"/>
      <c r="H847" s="85"/>
      <c r="R847" s="123"/>
      <c r="S847" s="122"/>
      <c r="T847" s="123"/>
      <c r="U847" s="123"/>
      <c r="V847" s="123"/>
      <c r="W847" s="123"/>
    </row>
    <row r="848">
      <c r="G848" s="85"/>
      <c r="H848" s="85"/>
      <c r="R848" s="123"/>
      <c r="S848" s="122"/>
      <c r="T848" s="123"/>
      <c r="U848" s="123"/>
      <c r="V848" s="123"/>
      <c r="W848" s="123"/>
    </row>
    <row r="849">
      <c r="G849" s="85"/>
      <c r="H849" s="85"/>
      <c r="R849" s="123"/>
      <c r="S849" s="122"/>
      <c r="T849" s="123"/>
      <c r="U849" s="123"/>
      <c r="V849" s="123"/>
      <c r="W849" s="123"/>
    </row>
    <row r="850">
      <c r="G850" s="85"/>
      <c r="H850" s="85"/>
      <c r="R850" s="123"/>
      <c r="S850" s="122"/>
      <c r="T850" s="123"/>
      <c r="U850" s="123"/>
      <c r="V850" s="123"/>
      <c r="W850" s="123"/>
    </row>
    <row r="851">
      <c r="G851" s="85"/>
      <c r="H851" s="85"/>
      <c r="R851" s="123"/>
      <c r="S851" s="122"/>
      <c r="T851" s="123"/>
      <c r="U851" s="123"/>
      <c r="V851" s="123"/>
      <c r="W851" s="123"/>
    </row>
    <row r="852">
      <c r="G852" s="85"/>
      <c r="H852" s="85"/>
      <c r="R852" s="123"/>
      <c r="S852" s="122"/>
      <c r="T852" s="123"/>
      <c r="U852" s="123"/>
      <c r="V852" s="123"/>
      <c r="W852" s="123"/>
    </row>
    <row r="853">
      <c r="G853" s="85"/>
      <c r="H853" s="85"/>
      <c r="R853" s="123"/>
      <c r="S853" s="122"/>
      <c r="T853" s="123"/>
      <c r="U853" s="123"/>
      <c r="V853" s="123"/>
      <c r="W853" s="123"/>
    </row>
    <row r="854">
      <c r="G854" s="85"/>
      <c r="H854" s="85"/>
      <c r="R854" s="123"/>
      <c r="S854" s="122"/>
      <c r="T854" s="123"/>
      <c r="U854" s="123"/>
      <c r="V854" s="123"/>
      <c r="W854" s="123"/>
    </row>
    <row r="855">
      <c r="G855" s="85"/>
      <c r="H855" s="85"/>
      <c r="R855" s="123"/>
      <c r="S855" s="122"/>
      <c r="T855" s="123"/>
      <c r="U855" s="123"/>
      <c r="V855" s="123"/>
      <c r="W855" s="123"/>
    </row>
    <row r="856">
      <c r="G856" s="85"/>
      <c r="H856" s="85"/>
      <c r="R856" s="123"/>
      <c r="S856" s="122"/>
      <c r="T856" s="123"/>
      <c r="U856" s="123"/>
      <c r="V856" s="123"/>
      <c r="W856" s="123"/>
    </row>
    <row r="857">
      <c r="G857" s="85"/>
      <c r="H857" s="85"/>
      <c r="R857" s="123"/>
      <c r="S857" s="122"/>
      <c r="T857" s="123"/>
      <c r="U857" s="123"/>
      <c r="V857" s="123"/>
      <c r="W857" s="123"/>
    </row>
    <row r="858">
      <c r="G858" s="85"/>
      <c r="H858" s="85"/>
      <c r="R858" s="123"/>
      <c r="S858" s="122"/>
      <c r="T858" s="123"/>
      <c r="U858" s="123"/>
      <c r="V858" s="123"/>
      <c r="W858" s="123"/>
    </row>
    <row r="859">
      <c r="G859" s="85"/>
      <c r="H859" s="85"/>
      <c r="R859" s="123"/>
      <c r="S859" s="122"/>
      <c r="T859" s="123"/>
      <c r="U859" s="123"/>
      <c r="V859" s="123"/>
      <c r="W859" s="123"/>
    </row>
    <row r="860">
      <c r="G860" s="85"/>
      <c r="H860" s="85"/>
      <c r="R860" s="123"/>
      <c r="S860" s="122"/>
      <c r="T860" s="123"/>
      <c r="U860" s="123"/>
      <c r="V860" s="123"/>
      <c r="W860" s="123"/>
    </row>
    <row r="861">
      <c r="G861" s="85"/>
      <c r="H861" s="85"/>
      <c r="R861" s="123"/>
      <c r="S861" s="122"/>
      <c r="T861" s="123"/>
      <c r="U861" s="123"/>
      <c r="V861" s="123"/>
      <c r="W861" s="123"/>
    </row>
    <row r="862">
      <c r="G862" s="85"/>
      <c r="H862" s="85"/>
      <c r="R862" s="123"/>
      <c r="S862" s="122"/>
      <c r="T862" s="123"/>
      <c r="U862" s="123"/>
      <c r="V862" s="123"/>
      <c r="W862" s="123"/>
    </row>
    <row r="863">
      <c r="G863" s="85"/>
      <c r="H863" s="85"/>
      <c r="R863" s="123"/>
      <c r="S863" s="122"/>
      <c r="T863" s="123"/>
      <c r="U863" s="123"/>
      <c r="V863" s="123"/>
      <c r="W863" s="123"/>
    </row>
    <row r="864">
      <c r="G864" s="85"/>
      <c r="H864" s="85"/>
      <c r="R864" s="123"/>
      <c r="S864" s="122"/>
      <c r="T864" s="123"/>
      <c r="U864" s="123"/>
      <c r="V864" s="123"/>
      <c r="W864" s="123"/>
    </row>
    <row r="865">
      <c r="G865" s="85"/>
      <c r="H865" s="85"/>
      <c r="R865" s="123"/>
      <c r="S865" s="122"/>
      <c r="T865" s="123"/>
      <c r="U865" s="123"/>
      <c r="V865" s="123"/>
      <c r="W865" s="123"/>
    </row>
    <row r="866">
      <c r="G866" s="85"/>
      <c r="H866" s="85"/>
      <c r="R866" s="123"/>
      <c r="S866" s="122"/>
      <c r="T866" s="123"/>
      <c r="U866" s="123"/>
      <c r="V866" s="123"/>
      <c r="W866" s="123"/>
    </row>
    <row r="867">
      <c r="G867" s="85"/>
      <c r="H867" s="85"/>
      <c r="R867" s="123"/>
      <c r="S867" s="122"/>
      <c r="T867" s="123"/>
      <c r="U867" s="123"/>
      <c r="V867" s="123"/>
      <c r="W867" s="123"/>
    </row>
    <row r="868">
      <c r="G868" s="85"/>
      <c r="H868" s="85"/>
      <c r="R868" s="123"/>
      <c r="S868" s="122"/>
      <c r="T868" s="123"/>
      <c r="U868" s="123"/>
      <c r="V868" s="123"/>
      <c r="W868" s="123"/>
    </row>
    <row r="869">
      <c r="G869" s="85"/>
      <c r="H869" s="85"/>
      <c r="R869" s="123"/>
      <c r="S869" s="122"/>
      <c r="T869" s="123"/>
      <c r="U869" s="123"/>
      <c r="V869" s="123"/>
      <c r="W869" s="123"/>
    </row>
    <row r="870">
      <c r="G870" s="85"/>
      <c r="H870" s="85"/>
      <c r="R870" s="123"/>
      <c r="S870" s="122"/>
      <c r="T870" s="123"/>
      <c r="U870" s="123"/>
      <c r="V870" s="123"/>
      <c r="W870" s="123"/>
    </row>
    <row r="871">
      <c r="G871" s="85"/>
      <c r="H871" s="85"/>
      <c r="R871" s="123"/>
      <c r="S871" s="122"/>
      <c r="T871" s="123"/>
      <c r="U871" s="123"/>
      <c r="V871" s="123"/>
      <c r="W871" s="123"/>
    </row>
    <row r="872">
      <c r="G872" s="85"/>
      <c r="H872" s="85"/>
      <c r="R872" s="123"/>
      <c r="S872" s="122"/>
      <c r="T872" s="123"/>
      <c r="U872" s="123"/>
      <c r="V872" s="123"/>
      <c r="W872" s="123"/>
    </row>
    <row r="873">
      <c r="G873" s="85"/>
      <c r="H873" s="85"/>
      <c r="R873" s="123"/>
      <c r="S873" s="122"/>
      <c r="T873" s="123"/>
      <c r="U873" s="123"/>
      <c r="V873" s="123"/>
      <c r="W873" s="123"/>
    </row>
    <row r="874">
      <c r="G874" s="85"/>
      <c r="H874" s="85"/>
      <c r="R874" s="123"/>
      <c r="S874" s="122"/>
      <c r="T874" s="123"/>
      <c r="U874" s="123"/>
      <c r="V874" s="123"/>
      <c r="W874" s="123"/>
    </row>
    <row r="875">
      <c r="G875" s="85"/>
      <c r="H875" s="85"/>
      <c r="R875" s="123"/>
      <c r="S875" s="122"/>
      <c r="T875" s="123"/>
      <c r="U875" s="123"/>
      <c r="V875" s="123"/>
      <c r="W875" s="123"/>
    </row>
    <row r="876">
      <c r="G876" s="85"/>
      <c r="H876" s="85"/>
      <c r="R876" s="123"/>
      <c r="S876" s="122"/>
      <c r="T876" s="123"/>
      <c r="U876" s="123"/>
      <c r="V876" s="123"/>
      <c r="W876" s="123"/>
    </row>
    <row r="877">
      <c r="G877" s="85"/>
      <c r="H877" s="85"/>
      <c r="R877" s="123"/>
      <c r="S877" s="122"/>
      <c r="T877" s="123"/>
      <c r="U877" s="123"/>
      <c r="V877" s="123"/>
      <c r="W877" s="123"/>
    </row>
    <row r="878">
      <c r="G878" s="85"/>
      <c r="H878" s="85"/>
      <c r="R878" s="123"/>
      <c r="S878" s="122"/>
      <c r="T878" s="123"/>
      <c r="U878" s="123"/>
      <c r="V878" s="123"/>
      <c r="W878" s="123"/>
    </row>
    <row r="879">
      <c r="G879" s="85"/>
      <c r="H879" s="85"/>
      <c r="R879" s="123"/>
      <c r="S879" s="122"/>
      <c r="T879" s="123"/>
      <c r="U879" s="123"/>
      <c r="V879" s="123"/>
      <c r="W879" s="123"/>
    </row>
    <row r="880">
      <c r="G880" s="85"/>
      <c r="H880" s="85"/>
      <c r="R880" s="123"/>
      <c r="S880" s="122"/>
      <c r="T880" s="123"/>
      <c r="U880" s="123"/>
      <c r="V880" s="123"/>
      <c r="W880" s="123"/>
    </row>
    <row r="881">
      <c r="G881" s="85"/>
      <c r="H881" s="85"/>
      <c r="R881" s="123"/>
      <c r="S881" s="122"/>
      <c r="T881" s="123"/>
      <c r="U881" s="123"/>
      <c r="V881" s="123"/>
      <c r="W881" s="123"/>
    </row>
    <row r="882">
      <c r="G882" s="85"/>
      <c r="H882" s="85"/>
      <c r="R882" s="123"/>
      <c r="S882" s="122"/>
      <c r="T882" s="123"/>
      <c r="U882" s="123"/>
      <c r="V882" s="123"/>
      <c r="W882" s="123"/>
    </row>
    <row r="883">
      <c r="G883" s="85"/>
      <c r="H883" s="85"/>
      <c r="R883" s="123"/>
      <c r="S883" s="122"/>
      <c r="T883" s="123"/>
      <c r="U883" s="123"/>
      <c r="V883" s="123"/>
      <c r="W883" s="123"/>
    </row>
    <row r="884">
      <c r="G884" s="85"/>
      <c r="H884" s="85"/>
      <c r="R884" s="123"/>
      <c r="S884" s="122"/>
      <c r="T884" s="123"/>
      <c r="U884" s="123"/>
      <c r="V884" s="123"/>
      <c r="W884" s="123"/>
    </row>
    <row r="885">
      <c r="G885" s="85"/>
      <c r="H885" s="85"/>
      <c r="R885" s="123"/>
      <c r="S885" s="122"/>
      <c r="T885" s="123"/>
      <c r="U885" s="123"/>
      <c r="V885" s="123"/>
      <c r="W885" s="123"/>
    </row>
    <row r="886">
      <c r="G886" s="85"/>
      <c r="H886" s="85"/>
      <c r="R886" s="123"/>
      <c r="S886" s="122"/>
      <c r="T886" s="123"/>
      <c r="U886" s="123"/>
      <c r="V886" s="123"/>
      <c r="W886" s="123"/>
    </row>
    <row r="887">
      <c r="G887" s="85"/>
      <c r="H887" s="85"/>
      <c r="R887" s="123"/>
      <c r="S887" s="122"/>
      <c r="T887" s="123"/>
      <c r="U887" s="123"/>
      <c r="V887" s="123"/>
      <c r="W887" s="123"/>
    </row>
    <row r="888">
      <c r="G888" s="85"/>
      <c r="H888" s="85"/>
      <c r="R888" s="123"/>
      <c r="S888" s="122"/>
      <c r="T888" s="123"/>
      <c r="U888" s="123"/>
      <c r="V888" s="123"/>
      <c r="W888" s="123"/>
    </row>
    <row r="889">
      <c r="G889" s="85"/>
      <c r="H889" s="85"/>
      <c r="R889" s="123"/>
      <c r="S889" s="122"/>
      <c r="T889" s="123"/>
      <c r="U889" s="123"/>
      <c r="V889" s="123"/>
      <c r="W889" s="123"/>
    </row>
    <row r="890">
      <c r="G890" s="85"/>
      <c r="H890" s="85"/>
      <c r="R890" s="123"/>
      <c r="S890" s="122"/>
      <c r="T890" s="123"/>
      <c r="U890" s="123"/>
      <c r="V890" s="123"/>
      <c r="W890" s="123"/>
    </row>
    <row r="891">
      <c r="G891" s="85"/>
      <c r="H891" s="85"/>
      <c r="R891" s="123"/>
      <c r="S891" s="122"/>
      <c r="T891" s="123"/>
      <c r="U891" s="123"/>
      <c r="V891" s="123"/>
      <c r="W891" s="123"/>
    </row>
    <row r="892">
      <c r="G892" s="85"/>
      <c r="H892" s="85"/>
      <c r="R892" s="123"/>
      <c r="S892" s="122"/>
      <c r="T892" s="123"/>
      <c r="U892" s="123"/>
      <c r="V892" s="123"/>
      <c r="W892" s="123"/>
    </row>
    <row r="893">
      <c r="G893" s="85"/>
      <c r="H893" s="85"/>
      <c r="R893" s="123"/>
      <c r="S893" s="122"/>
      <c r="T893" s="123"/>
      <c r="U893" s="123"/>
      <c r="V893" s="123"/>
      <c r="W893" s="123"/>
    </row>
    <row r="894">
      <c r="G894" s="85"/>
      <c r="H894" s="85"/>
      <c r="R894" s="123"/>
      <c r="S894" s="122"/>
      <c r="T894" s="123"/>
      <c r="U894" s="123"/>
      <c r="V894" s="123"/>
      <c r="W894" s="123"/>
    </row>
    <row r="895">
      <c r="G895" s="85"/>
      <c r="H895" s="85"/>
      <c r="R895" s="123"/>
      <c r="S895" s="122"/>
      <c r="T895" s="123"/>
      <c r="U895" s="123"/>
      <c r="V895" s="123"/>
      <c r="W895" s="123"/>
    </row>
    <row r="896">
      <c r="G896" s="85"/>
      <c r="H896" s="85"/>
      <c r="R896" s="123"/>
      <c r="S896" s="122"/>
      <c r="T896" s="123"/>
      <c r="U896" s="123"/>
      <c r="V896" s="123"/>
      <c r="W896" s="123"/>
    </row>
    <row r="897">
      <c r="G897" s="85"/>
      <c r="H897" s="85"/>
      <c r="R897" s="123"/>
      <c r="S897" s="122"/>
      <c r="T897" s="123"/>
      <c r="U897" s="123"/>
      <c r="V897" s="123"/>
      <c r="W897" s="123"/>
    </row>
    <row r="898">
      <c r="G898" s="85"/>
      <c r="H898" s="85"/>
      <c r="R898" s="123"/>
      <c r="S898" s="122"/>
      <c r="T898" s="123"/>
      <c r="U898" s="123"/>
      <c r="V898" s="123"/>
      <c r="W898" s="123"/>
    </row>
    <row r="899">
      <c r="G899" s="85"/>
      <c r="H899" s="85"/>
      <c r="R899" s="123"/>
      <c r="S899" s="122"/>
      <c r="T899" s="123"/>
      <c r="U899" s="123"/>
      <c r="V899" s="123"/>
      <c r="W899" s="123"/>
    </row>
    <row r="900">
      <c r="G900" s="85"/>
      <c r="H900" s="85"/>
      <c r="R900" s="123"/>
      <c r="S900" s="122"/>
      <c r="T900" s="123"/>
      <c r="U900" s="123"/>
      <c r="V900" s="123"/>
      <c r="W900" s="123"/>
    </row>
    <row r="901">
      <c r="G901" s="85"/>
      <c r="H901" s="85"/>
      <c r="R901" s="123"/>
      <c r="S901" s="122"/>
      <c r="T901" s="123"/>
      <c r="U901" s="123"/>
      <c r="V901" s="123"/>
      <c r="W901" s="123"/>
    </row>
    <row r="902">
      <c r="G902" s="85"/>
      <c r="H902" s="85"/>
      <c r="R902" s="123"/>
      <c r="S902" s="122"/>
      <c r="T902" s="123"/>
      <c r="U902" s="123"/>
      <c r="V902" s="123"/>
      <c r="W902" s="123"/>
    </row>
    <row r="903">
      <c r="G903" s="85"/>
      <c r="H903" s="85"/>
      <c r="R903" s="123"/>
      <c r="S903" s="122"/>
      <c r="T903" s="123"/>
      <c r="U903" s="123"/>
      <c r="V903" s="123"/>
      <c r="W903" s="123"/>
    </row>
    <row r="904">
      <c r="G904" s="85"/>
      <c r="H904" s="85"/>
      <c r="R904" s="123"/>
      <c r="S904" s="122"/>
      <c r="T904" s="123"/>
      <c r="U904" s="123"/>
      <c r="V904" s="123"/>
      <c r="W904" s="123"/>
    </row>
    <row r="905">
      <c r="G905" s="85"/>
      <c r="H905" s="85"/>
      <c r="R905" s="123"/>
      <c r="S905" s="122"/>
      <c r="T905" s="123"/>
      <c r="U905" s="123"/>
      <c r="V905" s="123"/>
      <c r="W905" s="123"/>
    </row>
    <row r="906">
      <c r="G906" s="85"/>
      <c r="H906" s="85"/>
      <c r="R906" s="123"/>
      <c r="S906" s="122"/>
      <c r="T906" s="123"/>
      <c r="U906" s="123"/>
      <c r="V906" s="123"/>
      <c r="W906" s="123"/>
    </row>
    <row r="907">
      <c r="G907" s="85"/>
      <c r="H907" s="85"/>
      <c r="R907" s="123"/>
      <c r="S907" s="122"/>
      <c r="T907" s="123"/>
      <c r="U907" s="123"/>
      <c r="V907" s="123"/>
      <c r="W907" s="123"/>
    </row>
    <row r="908">
      <c r="G908" s="85"/>
      <c r="H908" s="85"/>
      <c r="R908" s="123"/>
      <c r="S908" s="122"/>
      <c r="T908" s="123"/>
      <c r="U908" s="123"/>
      <c r="V908" s="123"/>
      <c r="W908" s="123"/>
    </row>
    <row r="909">
      <c r="G909" s="85"/>
      <c r="H909" s="85"/>
      <c r="R909" s="123"/>
      <c r="S909" s="122"/>
      <c r="T909" s="123"/>
      <c r="U909" s="123"/>
      <c r="V909" s="123"/>
      <c r="W909" s="123"/>
    </row>
    <row r="910">
      <c r="G910" s="85"/>
      <c r="H910" s="85"/>
      <c r="R910" s="123"/>
      <c r="S910" s="122"/>
      <c r="T910" s="123"/>
      <c r="U910" s="123"/>
      <c r="V910" s="123"/>
      <c r="W910" s="123"/>
    </row>
    <row r="911">
      <c r="G911" s="85"/>
      <c r="H911" s="85"/>
      <c r="R911" s="123"/>
      <c r="S911" s="122"/>
      <c r="T911" s="123"/>
      <c r="U911" s="123"/>
      <c r="V911" s="123"/>
      <c r="W911" s="123"/>
    </row>
    <row r="912">
      <c r="G912" s="85"/>
      <c r="H912" s="85"/>
      <c r="R912" s="123"/>
      <c r="S912" s="122"/>
      <c r="T912" s="123"/>
      <c r="U912" s="123"/>
      <c r="V912" s="123"/>
      <c r="W912" s="123"/>
    </row>
    <row r="913">
      <c r="G913" s="85"/>
      <c r="H913" s="85"/>
      <c r="R913" s="123"/>
      <c r="S913" s="122"/>
      <c r="T913" s="123"/>
      <c r="U913" s="123"/>
      <c r="V913" s="123"/>
      <c r="W913" s="123"/>
    </row>
    <row r="914">
      <c r="G914" s="85"/>
      <c r="H914" s="85"/>
      <c r="R914" s="123"/>
      <c r="S914" s="122"/>
      <c r="T914" s="123"/>
      <c r="U914" s="123"/>
      <c r="V914" s="123"/>
      <c r="W914" s="123"/>
    </row>
    <row r="915">
      <c r="G915" s="85"/>
      <c r="H915" s="85"/>
      <c r="R915" s="123"/>
      <c r="S915" s="122"/>
      <c r="T915" s="123"/>
      <c r="U915" s="123"/>
      <c r="V915" s="123"/>
      <c r="W915" s="123"/>
    </row>
    <row r="916">
      <c r="G916" s="85"/>
      <c r="H916" s="85"/>
      <c r="R916" s="123"/>
      <c r="S916" s="122"/>
      <c r="T916" s="123"/>
      <c r="U916" s="123"/>
      <c r="V916" s="123"/>
      <c r="W916" s="123"/>
    </row>
    <row r="917">
      <c r="G917" s="85"/>
      <c r="H917" s="85"/>
      <c r="R917" s="123"/>
      <c r="S917" s="122"/>
      <c r="T917" s="123"/>
      <c r="U917" s="123"/>
      <c r="V917" s="123"/>
      <c r="W917" s="123"/>
    </row>
    <row r="918">
      <c r="G918" s="85"/>
      <c r="H918" s="85"/>
      <c r="R918" s="123"/>
      <c r="S918" s="122"/>
      <c r="T918" s="123"/>
      <c r="U918" s="123"/>
      <c r="V918" s="123"/>
      <c r="W918" s="123"/>
    </row>
    <row r="919">
      <c r="G919" s="85"/>
      <c r="H919" s="85"/>
      <c r="R919" s="123"/>
      <c r="S919" s="122"/>
      <c r="T919" s="123"/>
      <c r="U919" s="123"/>
      <c r="V919" s="123"/>
      <c r="W919" s="123"/>
    </row>
    <row r="920">
      <c r="G920" s="85"/>
      <c r="H920" s="85"/>
      <c r="R920" s="123"/>
      <c r="S920" s="122"/>
      <c r="T920" s="123"/>
      <c r="U920" s="123"/>
      <c r="V920" s="123"/>
      <c r="W920" s="123"/>
    </row>
    <row r="921">
      <c r="G921" s="85"/>
      <c r="H921" s="85"/>
      <c r="R921" s="123"/>
      <c r="S921" s="122"/>
      <c r="T921" s="123"/>
      <c r="U921" s="123"/>
      <c r="V921" s="123"/>
      <c r="W921" s="123"/>
    </row>
    <row r="922">
      <c r="G922" s="85"/>
      <c r="H922" s="85"/>
      <c r="R922" s="123"/>
      <c r="S922" s="122"/>
      <c r="T922" s="123"/>
      <c r="U922" s="123"/>
      <c r="V922" s="123"/>
      <c r="W922" s="123"/>
    </row>
    <row r="923">
      <c r="G923" s="85"/>
      <c r="H923" s="85"/>
      <c r="R923" s="123"/>
      <c r="S923" s="122"/>
      <c r="T923" s="123"/>
      <c r="U923" s="123"/>
      <c r="V923" s="123"/>
      <c r="W923" s="123"/>
    </row>
    <row r="924">
      <c r="G924" s="85"/>
      <c r="H924" s="85"/>
      <c r="R924" s="123"/>
      <c r="S924" s="122"/>
      <c r="T924" s="123"/>
      <c r="U924" s="123"/>
      <c r="V924" s="123"/>
      <c r="W924" s="123"/>
    </row>
    <row r="925">
      <c r="G925" s="85"/>
      <c r="H925" s="85"/>
      <c r="R925" s="123"/>
      <c r="S925" s="122"/>
      <c r="T925" s="123"/>
      <c r="U925" s="123"/>
      <c r="V925" s="123"/>
      <c r="W925" s="123"/>
    </row>
    <row r="926">
      <c r="G926" s="85"/>
      <c r="H926" s="85"/>
      <c r="R926" s="123"/>
      <c r="S926" s="122"/>
      <c r="T926" s="123"/>
      <c r="U926" s="123"/>
      <c r="V926" s="123"/>
      <c r="W926" s="123"/>
    </row>
    <row r="927">
      <c r="G927" s="85"/>
      <c r="H927" s="85"/>
      <c r="R927" s="123"/>
      <c r="S927" s="122"/>
      <c r="T927" s="123"/>
      <c r="U927" s="123"/>
      <c r="V927" s="123"/>
      <c r="W927" s="123"/>
    </row>
    <row r="928">
      <c r="G928" s="85"/>
      <c r="H928" s="85"/>
      <c r="R928" s="123"/>
      <c r="S928" s="122"/>
      <c r="T928" s="123"/>
      <c r="U928" s="123"/>
      <c r="V928" s="123"/>
      <c r="W928" s="123"/>
    </row>
    <row r="929">
      <c r="G929" s="85"/>
      <c r="H929" s="85"/>
      <c r="R929" s="123"/>
      <c r="S929" s="122"/>
      <c r="T929" s="123"/>
      <c r="U929" s="123"/>
      <c r="V929" s="123"/>
      <c r="W929" s="123"/>
    </row>
    <row r="930">
      <c r="G930" s="85"/>
      <c r="H930" s="85"/>
      <c r="R930" s="123"/>
      <c r="S930" s="122"/>
      <c r="T930" s="123"/>
      <c r="U930" s="123"/>
      <c r="V930" s="123"/>
      <c r="W930" s="123"/>
    </row>
    <row r="931">
      <c r="G931" s="85"/>
      <c r="H931" s="85"/>
      <c r="R931" s="123"/>
      <c r="S931" s="122"/>
      <c r="T931" s="123"/>
      <c r="U931" s="123"/>
      <c r="V931" s="123"/>
      <c r="W931" s="123"/>
    </row>
    <row r="932">
      <c r="G932" s="85"/>
      <c r="H932" s="85"/>
      <c r="R932" s="123"/>
      <c r="S932" s="122"/>
      <c r="T932" s="123"/>
      <c r="U932" s="123"/>
      <c r="V932" s="123"/>
      <c r="W932" s="123"/>
    </row>
    <row r="933">
      <c r="G933" s="85"/>
      <c r="H933" s="85"/>
      <c r="R933" s="123"/>
      <c r="S933" s="122"/>
      <c r="T933" s="123"/>
      <c r="U933" s="123"/>
      <c r="V933" s="123"/>
      <c r="W933" s="123"/>
    </row>
    <row r="934">
      <c r="G934" s="85"/>
      <c r="H934" s="85"/>
      <c r="R934" s="123"/>
      <c r="S934" s="122"/>
      <c r="T934" s="123"/>
      <c r="U934" s="123"/>
      <c r="V934" s="123"/>
      <c r="W934" s="123"/>
    </row>
    <row r="935">
      <c r="G935" s="85"/>
      <c r="H935" s="85"/>
      <c r="R935" s="123"/>
      <c r="S935" s="122"/>
      <c r="T935" s="123"/>
      <c r="U935" s="123"/>
      <c r="V935" s="123"/>
      <c r="W935" s="123"/>
    </row>
    <row r="936">
      <c r="G936" s="85"/>
      <c r="H936" s="85"/>
      <c r="R936" s="123"/>
      <c r="S936" s="122"/>
      <c r="T936" s="123"/>
      <c r="U936" s="123"/>
      <c r="V936" s="123"/>
      <c r="W936" s="123"/>
    </row>
    <row r="937">
      <c r="G937" s="85"/>
      <c r="H937" s="85"/>
      <c r="R937" s="123"/>
      <c r="S937" s="122"/>
      <c r="T937" s="123"/>
      <c r="U937" s="123"/>
      <c r="V937" s="123"/>
      <c r="W937" s="123"/>
    </row>
    <row r="938">
      <c r="G938" s="85"/>
      <c r="H938" s="85"/>
      <c r="R938" s="123"/>
      <c r="S938" s="122"/>
      <c r="T938" s="123"/>
      <c r="U938" s="123"/>
      <c r="V938" s="123"/>
      <c r="W938" s="123"/>
    </row>
    <row r="939">
      <c r="G939" s="85"/>
      <c r="H939" s="85"/>
      <c r="R939" s="123"/>
      <c r="S939" s="122"/>
      <c r="T939" s="123"/>
      <c r="U939" s="123"/>
      <c r="V939" s="123"/>
      <c r="W939" s="123"/>
    </row>
    <row r="940">
      <c r="G940" s="85"/>
      <c r="H940" s="85"/>
      <c r="R940" s="123"/>
      <c r="S940" s="122"/>
      <c r="T940" s="123"/>
      <c r="U940" s="123"/>
      <c r="V940" s="123"/>
      <c r="W940" s="123"/>
    </row>
    <row r="941">
      <c r="G941" s="85"/>
      <c r="H941" s="85"/>
      <c r="R941" s="123"/>
      <c r="S941" s="122"/>
      <c r="T941" s="123"/>
      <c r="U941" s="123"/>
      <c r="V941" s="123"/>
      <c r="W941" s="123"/>
    </row>
    <row r="942">
      <c r="G942" s="85"/>
      <c r="H942" s="85"/>
      <c r="R942" s="123"/>
      <c r="S942" s="122"/>
      <c r="T942" s="123"/>
      <c r="U942" s="123"/>
      <c r="V942" s="123"/>
      <c r="W942" s="123"/>
    </row>
    <row r="943">
      <c r="G943" s="85"/>
      <c r="H943" s="85"/>
      <c r="R943" s="123"/>
      <c r="S943" s="122"/>
      <c r="T943" s="123"/>
      <c r="U943" s="123"/>
      <c r="V943" s="123"/>
      <c r="W943" s="123"/>
    </row>
    <row r="944">
      <c r="G944" s="85"/>
      <c r="H944" s="85"/>
      <c r="R944" s="123"/>
      <c r="S944" s="122"/>
      <c r="T944" s="123"/>
      <c r="U944" s="123"/>
      <c r="V944" s="123"/>
      <c r="W944" s="123"/>
    </row>
    <row r="945">
      <c r="G945" s="85"/>
      <c r="H945" s="85"/>
      <c r="R945" s="123"/>
      <c r="S945" s="122"/>
      <c r="T945" s="123"/>
      <c r="U945" s="123"/>
      <c r="V945" s="123"/>
      <c r="W945" s="123"/>
    </row>
    <row r="946">
      <c r="G946" s="85"/>
      <c r="H946" s="85"/>
      <c r="R946" s="123"/>
      <c r="S946" s="122"/>
      <c r="T946" s="123"/>
      <c r="U946" s="123"/>
      <c r="V946" s="123"/>
      <c r="W946" s="123"/>
    </row>
    <row r="947">
      <c r="G947" s="85"/>
      <c r="H947" s="85"/>
      <c r="R947" s="123"/>
      <c r="S947" s="122"/>
      <c r="T947" s="123"/>
      <c r="U947" s="123"/>
      <c r="V947" s="123"/>
      <c r="W947" s="123"/>
    </row>
    <row r="948">
      <c r="G948" s="85"/>
      <c r="H948" s="85"/>
      <c r="R948" s="123"/>
      <c r="S948" s="122"/>
      <c r="T948" s="123"/>
      <c r="U948" s="123"/>
      <c r="V948" s="123"/>
      <c r="W948" s="123"/>
    </row>
    <row r="949">
      <c r="G949" s="85"/>
      <c r="H949" s="85"/>
      <c r="R949" s="123"/>
      <c r="S949" s="122"/>
      <c r="T949" s="123"/>
      <c r="U949" s="123"/>
      <c r="V949" s="123"/>
      <c r="W949" s="123"/>
    </row>
    <row r="950">
      <c r="G950" s="85"/>
      <c r="H950" s="85"/>
      <c r="R950" s="123"/>
      <c r="S950" s="122"/>
      <c r="T950" s="123"/>
      <c r="U950" s="123"/>
      <c r="V950" s="123"/>
      <c r="W950" s="123"/>
    </row>
    <row r="951">
      <c r="G951" s="85"/>
      <c r="H951" s="85"/>
      <c r="R951" s="123"/>
      <c r="S951" s="122"/>
      <c r="T951" s="123"/>
      <c r="U951" s="123"/>
      <c r="V951" s="123"/>
      <c r="W951" s="123"/>
    </row>
    <row r="952">
      <c r="G952" s="85"/>
      <c r="H952" s="85"/>
      <c r="R952" s="123"/>
      <c r="S952" s="122"/>
      <c r="T952" s="123"/>
      <c r="U952" s="123"/>
      <c r="V952" s="123"/>
      <c r="W952" s="123"/>
    </row>
    <row r="953">
      <c r="G953" s="85"/>
      <c r="H953" s="85"/>
      <c r="R953" s="123"/>
      <c r="S953" s="122"/>
      <c r="T953" s="123"/>
      <c r="U953" s="123"/>
      <c r="V953" s="123"/>
      <c r="W953" s="123"/>
    </row>
    <row r="954">
      <c r="G954" s="85"/>
      <c r="H954" s="85"/>
      <c r="R954" s="123"/>
      <c r="S954" s="122"/>
      <c r="T954" s="123"/>
      <c r="U954" s="123"/>
      <c r="V954" s="123"/>
      <c r="W954" s="123"/>
    </row>
    <row r="955">
      <c r="G955" s="85"/>
      <c r="H955" s="85"/>
      <c r="R955" s="123"/>
      <c r="S955" s="122"/>
      <c r="T955" s="123"/>
      <c r="U955" s="123"/>
      <c r="V955" s="123"/>
      <c r="W955" s="123"/>
    </row>
    <row r="956">
      <c r="G956" s="85"/>
      <c r="H956" s="85"/>
      <c r="R956" s="123"/>
      <c r="S956" s="122"/>
      <c r="T956" s="123"/>
      <c r="U956" s="123"/>
      <c r="V956" s="123"/>
      <c r="W956" s="123"/>
    </row>
    <row r="957">
      <c r="G957" s="85"/>
      <c r="H957" s="85"/>
      <c r="R957" s="123"/>
      <c r="S957" s="122"/>
      <c r="T957" s="123"/>
      <c r="U957" s="123"/>
      <c r="V957" s="123"/>
      <c r="W957" s="123"/>
    </row>
    <row r="958">
      <c r="G958" s="85"/>
      <c r="H958" s="85"/>
      <c r="R958" s="123"/>
      <c r="S958" s="122"/>
      <c r="T958" s="123"/>
      <c r="U958" s="123"/>
      <c r="V958" s="123"/>
      <c r="W958" s="123"/>
    </row>
    <row r="959">
      <c r="G959" s="85"/>
      <c r="H959" s="85"/>
      <c r="R959" s="123"/>
      <c r="S959" s="122"/>
      <c r="T959" s="123"/>
      <c r="U959" s="123"/>
      <c r="V959" s="123"/>
      <c r="W959" s="123"/>
    </row>
    <row r="960">
      <c r="G960" s="85"/>
      <c r="H960" s="85"/>
      <c r="R960" s="123"/>
      <c r="S960" s="122"/>
      <c r="T960" s="123"/>
      <c r="U960" s="123"/>
      <c r="V960" s="123"/>
      <c r="W960" s="123"/>
    </row>
    <row r="961">
      <c r="G961" s="85"/>
      <c r="H961" s="85"/>
      <c r="R961" s="123"/>
      <c r="S961" s="122"/>
      <c r="T961" s="123"/>
      <c r="U961" s="123"/>
      <c r="V961" s="123"/>
      <c r="W961" s="123"/>
    </row>
    <row r="962">
      <c r="G962" s="85"/>
      <c r="H962" s="85"/>
      <c r="R962" s="123"/>
      <c r="S962" s="122"/>
      <c r="T962" s="123"/>
      <c r="U962" s="123"/>
      <c r="V962" s="123"/>
      <c r="W962" s="123"/>
    </row>
    <row r="963">
      <c r="G963" s="85"/>
      <c r="H963" s="85"/>
      <c r="R963" s="123"/>
      <c r="S963" s="122"/>
      <c r="T963" s="123"/>
      <c r="U963" s="123"/>
      <c r="V963" s="123"/>
      <c r="W963" s="123"/>
    </row>
    <row r="964">
      <c r="G964" s="85"/>
      <c r="H964" s="85"/>
      <c r="R964" s="123"/>
      <c r="S964" s="122"/>
      <c r="T964" s="123"/>
      <c r="U964" s="123"/>
      <c r="V964" s="123"/>
      <c r="W964" s="123"/>
    </row>
    <row r="965">
      <c r="G965" s="85"/>
      <c r="H965" s="85"/>
      <c r="R965" s="123"/>
      <c r="S965" s="122"/>
      <c r="T965" s="123"/>
      <c r="U965" s="123"/>
      <c r="V965" s="123"/>
      <c r="W965" s="123"/>
    </row>
    <row r="966">
      <c r="G966" s="85"/>
      <c r="H966" s="85"/>
      <c r="R966" s="123"/>
      <c r="S966" s="122"/>
      <c r="T966" s="123"/>
      <c r="U966" s="123"/>
      <c r="V966" s="123"/>
      <c r="W966" s="123"/>
    </row>
    <row r="967">
      <c r="G967" s="85"/>
      <c r="H967" s="85"/>
      <c r="R967" s="123"/>
      <c r="S967" s="122"/>
      <c r="T967" s="123"/>
      <c r="U967" s="123"/>
      <c r="V967" s="123"/>
      <c r="W967" s="123"/>
    </row>
    <row r="968">
      <c r="G968" s="85"/>
      <c r="H968" s="85"/>
      <c r="R968" s="123"/>
      <c r="S968" s="122"/>
      <c r="T968" s="123"/>
      <c r="U968" s="123"/>
      <c r="V968" s="123"/>
      <c r="W968" s="123"/>
    </row>
    <row r="969">
      <c r="G969" s="85"/>
      <c r="H969" s="85"/>
      <c r="R969" s="123"/>
      <c r="S969" s="122"/>
      <c r="T969" s="123"/>
      <c r="U969" s="123"/>
      <c r="V969" s="123"/>
      <c r="W969" s="123"/>
    </row>
    <row r="970">
      <c r="G970" s="85"/>
      <c r="H970" s="85"/>
      <c r="R970" s="123"/>
      <c r="S970" s="122"/>
      <c r="T970" s="123"/>
      <c r="U970" s="123"/>
      <c r="V970" s="123"/>
      <c r="W970" s="123"/>
    </row>
    <row r="971">
      <c r="G971" s="85"/>
      <c r="H971" s="85"/>
      <c r="R971" s="123"/>
      <c r="S971" s="122"/>
      <c r="T971" s="123"/>
      <c r="U971" s="123"/>
      <c r="V971" s="123"/>
      <c r="W971" s="123"/>
    </row>
    <row r="972">
      <c r="G972" s="85"/>
      <c r="H972" s="85"/>
      <c r="R972" s="123"/>
      <c r="S972" s="122"/>
      <c r="T972" s="123"/>
      <c r="U972" s="123"/>
      <c r="V972" s="123"/>
      <c r="W972" s="123"/>
    </row>
    <row r="973">
      <c r="G973" s="85"/>
      <c r="H973" s="85"/>
      <c r="R973" s="123"/>
      <c r="S973" s="122"/>
      <c r="T973" s="123"/>
      <c r="U973" s="123"/>
      <c r="V973" s="123"/>
      <c r="W973" s="123"/>
    </row>
    <row r="974">
      <c r="G974" s="85"/>
      <c r="H974" s="85"/>
      <c r="R974" s="123"/>
      <c r="S974" s="122"/>
      <c r="T974" s="123"/>
      <c r="U974" s="123"/>
      <c r="V974" s="123"/>
      <c r="W974" s="123"/>
    </row>
    <row r="975">
      <c r="G975" s="85"/>
      <c r="H975" s="85"/>
      <c r="R975" s="123"/>
      <c r="S975" s="122"/>
      <c r="T975" s="123"/>
      <c r="U975" s="123"/>
      <c r="V975" s="123"/>
      <c r="W975" s="123"/>
    </row>
    <row r="976">
      <c r="G976" s="85"/>
      <c r="H976" s="85"/>
      <c r="R976" s="123"/>
      <c r="S976" s="122"/>
      <c r="T976" s="123"/>
      <c r="U976" s="123"/>
      <c r="V976" s="123"/>
      <c r="W976" s="123"/>
    </row>
    <row r="977">
      <c r="G977" s="85"/>
      <c r="H977" s="85"/>
      <c r="R977" s="123"/>
      <c r="S977" s="122"/>
      <c r="T977" s="123"/>
      <c r="U977" s="123"/>
      <c r="V977" s="123"/>
      <c r="W977" s="123"/>
    </row>
    <row r="978">
      <c r="G978" s="85"/>
      <c r="H978" s="85"/>
      <c r="R978" s="123"/>
      <c r="S978" s="122"/>
      <c r="T978" s="123"/>
      <c r="U978" s="123"/>
      <c r="V978" s="123"/>
      <c r="W978" s="123"/>
    </row>
    <row r="979">
      <c r="G979" s="85"/>
      <c r="H979" s="85"/>
      <c r="R979" s="123"/>
      <c r="S979" s="122"/>
      <c r="T979" s="123"/>
      <c r="U979" s="123"/>
      <c r="V979" s="123"/>
      <c r="W979" s="123"/>
    </row>
    <row r="980">
      <c r="G980" s="85"/>
      <c r="H980" s="85"/>
      <c r="R980" s="123"/>
      <c r="S980" s="122"/>
      <c r="T980" s="123"/>
      <c r="U980" s="123"/>
      <c r="V980" s="123"/>
      <c r="W980" s="123"/>
    </row>
    <row r="981">
      <c r="G981" s="85"/>
      <c r="H981" s="85"/>
      <c r="R981" s="123"/>
      <c r="S981" s="122"/>
      <c r="T981" s="123"/>
      <c r="U981" s="123"/>
      <c r="V981" s="123"/>
      <c r="W981" s="123"/>
    </row>
    <row r="982">
      <c r="G982" s="85"/>
      <c r="H982" s="85"/>
      <c r="R982" s="123"/>
      <c r="S982" s="122"/>
      <c r="T982" s="123"/>
      <c r="U982" s="123"/>
      <c r="V982" s="123"/>
      <c r="W982" s="123"/>
    </row>
    <row r="983">
      <c r="G983" s="85"/>
      <c r="H983" s="85"/>
      <c r="R983" s="123"/>
      <c r="S983" s="122"/>
      <c r="T983" s="123"/>
      <c r="U983" s="123"/>
      <c r="V983" s="123"/>
      <c r="W983" s="123"/>
    </row>
    <row r="984">
      <c r="G984" s="85"/>
      <c r="H984" s="85"/>
      <c r="R984" s="123"/>
      <c r="S984" s="122"/>
      <c r="T984" s="123"/>
      <c r="U984" s="123"/>
      <c r="V984" s="123"/>
      <c r="W984" s="123"/>
    </row>
    <row r="985">
      <c r="G985" s="85"/>
      <c r="H985" s="85"/>
      <c r="R985" s="123"/>
      <c r="S985" s="122"/>
      <c r="T985" s="123"/>
      <c r="U985" s="123"/>
      <c r="V985" s="123"/>
      <c r="W985" s="123"/>
    </row>
    <row r="986">
      <c r="G986" s="85"/>
      <c r="H986" s="85"/>
      <c r="R986" s="123"/>
      <c r="S986" s="122"/>
      <c r="T986" s="123"/>
      <c r="U986" s="123"/>
      <c r="V986" s="123"/>
      <c r="W986" s="123"/>
    </row>
    <row r="987">
      <c r="G987" s="85"/>
      <c r="H987" s="85"/>
      <c r="R987" s="123"/>
      <c r="S987" s="122"/>
      <c r="T987" s="123"/>
      <c r="U987" s="123"/>
      <c r="V987" s="123"/>
      <c r="W987" s="123"/>
    </row>
    <row r="988">
      <c r="G988" s="85"/>
      <c r="H988" s="85"/>
      <c r="R988" s="123"/>
      <c r="S988" s="122"/>
      <c r="T988" s="123"/>
      <c r="U988" s="123"/>
      <c r="V988" s="123"/>
      <c r="W988" s="123"/>
    </row>
    <row r="989">
      <c r="G989" s="85"/>
      <c r="H989" s="85"/>
      <c r="R989" s="123"/>
      <c r="S989" s="122"/>
      <c r="T989" s="123"/>
      <c r="U989" s="123"/>
      <c r="V989" s="123"/>
      <c r="W989" s="123"/>
    </row>
    <row r="990">
      <c r="G990" s="85"/>
      <c r="H990" s="85"/>
      <c r="R990" s="123"/>
      <c r="S990" s="122"/>
      <c r="T990" s="123"/>
      <c r="U990" s="123"/>
      <c r="V990" s="123"/>
      <c r="W990" s="123"/>
    </row>
    <row r="991">
      <c r="G991" s="85"/>
      <c r="H991" s="85"/>
      <c r="R991" s="123"/>
      <c r="S991" s="122"/>
      <c r="T991" s="123"/>
      <c r="U991" s="123"/>
      <c r="V991" s="123"/>
      <c r="W991" s="123"/>
    </row>
    <row r="992">
      <c r="G992" s="85"/>
      <c r="H992" s="85"/>
      <c r="R992" s="123"/>
      <c r="S992" s="122"/>
      <c r="T992" s="123"/>
      <c r="U992" s="123"/>
      <c r="V992" s="123"/>
      <c r="W992" s="123"/>
    </row>
    <row r="993">
      <c r="G993" s="85"/>
      <c r="H993" s="85"/>
      <c r="R993" s="123"/>
      <c r="S993" s="122"/>
      <c r="T993" s="123"/>
      <c r="U993" s="123"/>
      <c r="V993" s="123"/>
      <c r="W993" s="123"/>
    </row>
    <row r="994">
      <c r="G994" s="85"/>
      <c r="H994" s="85"/>
      <c r="R994" s="123"/>
      <c r="S994" s="122"/>
      <c r="T994" s="123"/>
      <c r="U994" s="123"/>
      <c r="V994" s="123"/>
      <c r="W994" s="123"/>
    </row>
    <row r="995">
      <c r="G995" s="85"/>
      <c r="H995" s="85"/>
      <c r="R995" s="123"/>
      <c r="S995" s="122"/>
      <c r="T995" s="123"/>
      <c r="U995" s="123"/>
      <c r="V995" s="123"/>
      <c r="W995" s="123"/>
    </row>
    <row r="996">
      <c r="G996" s="85"/>
      <c r="H996" s="85"/>
      <c r="R996" s="123"/>
      <c r="S996" s="122"/>
      <c r="T996" s="123"/>
      <c r="U996" s="123"/>
      <c r="V996" s="123"/>
      <c r="W996" s="123"/>
    </row>
    <row r="997">
      <c r="G997" s="85"/>
      <c r="H997" s="85"/>
      <c r="R997" s="123"/>
      <c r="S997" s="122"/>
      <c r="T997" s="123"/>
      <c r="U997" s="123"/>
      <c r="V997" s="123"/>
      <c r="W997" s="123"/>
    </row>
    <row r="998">
      <c r="G998" s="85"/>
      <c r="H998" s="85"/>
      <c r="R998" s="123"/>
      <c r="S998" s="122"/>
      <c r="T998" s="123"/>
      <c r="U998" s="123"/>
      <c r="V998" s="123"/>
      <c r="W998" s="123"/>
    </row>
    <row r="999">
      <c r="G999" s="85"/>
      <c r="H999" s="85"/>
      <c r="R999" s="123"/>
      <c r="S999" s="122"/>
      <c r="T999" s="123"/>
      <c r="U999" s="123"/>
      <c r="V999" s="123"/>
      <c r="W999" s="123"/>
    </row>
    <row r="1000">
      <c r="G1000" s="85"/>
      <c r="H1000" s="85"/>
      <c r="R1000" s="123"/>
      <c r="S1000" s="122"/>
      <c r="T1000" s="123"/>
      <c r="U1000" s="123"/>
      <c r="V1000" s="123"/>
      <c r="W1000" s="123"/>
    </row>
    <row r="1001">
      <c r="G1001" s="85"/>
      <c r="H1001" s="85"/>
      <c r="R1001" s="123"/>
      <c r="S1001" s="122"/>
      <c r="T1001" s="123"/>
      <c r="U1001" s="123"/>
      <c r="V1001" s="123"/>
      <c r="W1001" s="123"/>
    </row>
    <row r="1002">
      <c r="G1002" s="85"/>
      <c r="H1002" s="85"/>
      <c r="R1002" s="123"/>
      <c r="S1002" s="122"/>
      <c r="T1002" s="123"/>
      <c r="U1002" s="123"/>
      <c r="V1002" s="123"/>
      <c r="W1002" s="123"/>
    </row>
    <row r="1003">
      <c r="G1003" s="85"/>
      <c r="H1003" s="85"/>
      <c r="S1003" s="108"/>
    </row>
    <row r="1004">
      <c r="G1004" s="85"/>
      <c r="H1004" s="85"/>
      <c r="S1004" s="108"/>
    </row>
  </sheetData>
  <mergeCells count="1">
    <mergeCell ref="K4:L4"/>
  </mergeCells>
  <drawing r:id="rId1"/>
</worksheet>
</file>